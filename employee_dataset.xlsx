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drawings/drawing6.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5.xml" ContentType="application/vnd.openxmlformats-officedocument.themeOverride+xml"/>
  <Override PartName="/xl/drawings/drawing7.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6.xml" ContentType="application/vnd.openxmlformats-officedocument.themeOverride+xml"/>
  <Override PartName="/xl/drawings/drawing8.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hp\Desktop\Python\"/>
    </mc:Choice>
  </mc:AlternateContent>
  <xr:revisionPtr revIDLastSave="0" documentId="13_ncr:1_{D4E1718C-BBF2-48EE-A7E0-B3F3BF6A8624}" xr6:coauthVersionLast="47" xr6:coauthVersionMax="47" xr10:uidLastSave="{00000000-0000-0000-0000-000000000000}"/>
  <bookViews>
    <workbookView xWindow="-120" yWindow="-120" windowWidth="20730" windowHeight="11160" activeTab="2" xr2:uid="{7C4A079F-9429-47AA-9117-8787E1002082}"/>
  </bookViews>
  <sheets>
    <sheet name="clean_chat_gpt_messy_employee_d" sheetId="1" r:id="rId1"/>
    <sheet name="Pivot_Table" sheetId="2" r:id="rId2"/>
    <sheet name="Dashboard" sheetId="3" r:id="rId3"/>
  </sheets>
  <definedNames>
    <definedName name="Slicer_department">#N/A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alcChain>
</file>

<file path=xl/sharedStrings.xml><?xml version="1.0" encoding="utf-8"?>
<sst xmlns="http://schemas.openxmlformats.org/spreadsheetml/2006/main" count="3005" uniqueCount="1475">
  <si>
    <t>emp_id</t>
  </si>
  <si>
    <t>name</t>
  </si>
  <si>
    <t>age</t>
  </si>
  <si>
    <t>salary</t>
  </si>
  <si>
    <t>joining_date</t>
  </si>
  <si>
    <t>email</t>
  </si>
  <si>
    <t>phone</t>
  </si>
  <si>
    <t>department</t>
  </si>
  <si>
    <t>city</t>
  </si>
  <si>
    <t>gender</t>
  </si>
  <si>
    <t>performance_score</t>
  </si>
  <si>
    <t>EMP1000</t>
  </si>
  <si>
    <t>Divit Varkey</t>
  </si>
  <si>
    <t>krishnaanahithakur@gmail.com</t>
  </si>
  <si>
    <t>Finance</t>
  </si>
  <si>
    <t>Kolkata</t>
  </si>
  <si>
    <t>Male</t>
  </si>
  <si>
    <t>EMP1001</t>
  </si>
  <si>
    <t>Veer Varughese</t>
  </si>
  <si>
    <t>dewanyakshit@kala-hayre.com</t>
  </si>
  <si>
    <t>Sales</t>
  </si>
  <si>
    <t>Female</t>
  </si>
  <si>
    <t>EMP1002</t>
  </si>
  <si>
    <t>Ishita Chakrabarti</t>
  </si>
  <si>
    <t>dhawanshlok@shah.com</t>
  </si>
  <si>
    <t>Mumbai</t>
  </si>
  <si>
    <t>EMP1003</t>
  </si>
  <si>
    <t>Madhup Shroff</t>
  </si>
  <si>
    <t>lsandal@gmail.com</t>
  </si>
  <si>
    <t>Chennai</t>
  </si>
  <si>
    <t>EMP1004</t>
  </si>
  <si>
    <t>Hansh Date</t>
  </si>
  <si>
    <t>sanghakeya@shukla.com</t>
  </si>
  <si>
    <t>HR</t>
  </si>
  <si>
    <t>EMP1005</t>
  </si>
  <si>
    <t>Mohanlal Iyengar</t>
  </si>
  <si>
    <t>vaibhav56@yahoo.com</t>
  </si>
  <si>
    <t>Delhi</t>
  </si>
  <si>
    <t>EMP1006</t>
  </si>
  <si>
    <t>Pari Dewan</t>
  </si>
  <si>
    <t>neelofarthaker@gmail.com</t>
  </si>
  <si>
    <t>EMP1007</t>
  </si>
  <si>
    <t>Zoya Sankar</t>
  </si>
  <si>
    <t>chareshani@ratti.com</t>
  </si>
  <si>
    <t>EMP1008</t>
  </si>
  <si>
    <t>Hridaan Chander</t>
  </si>
  <si>
    <t>iaurora@balasubramanian-tandon.com</t>
  </si>
  <si>
    <t>EMP1009</t>
  </si>
  <si>
    <t>Kavya Soni</t>
  </si>
  <si>
    <t>camble@gmail.com</t>
  </si>
  <si>
    <t>EMP1010</t>
  </si>
  <si>
    <t>Abram Joshi</t>
  </si>
  <si>
    <t>ira97@yahoo.com</t>
  </si>
  <si>
    <t>EMP1011</t>
  </si>
  <si>
    <t>Rati Bhatti</t>
  </si>
  <si>
    <t>devanshmani@chacko-acharya.com</t>
  </si>
  <si>
    <t>EMP1012</t>
  </si>
  <si>
    <t>Rhea Ramaswamy</t>
  </si>
  <si>
    <t>rmadan@hotmail.com</t>
  </si>
  <si>
    <t>EMP1013</t>
  </si>
  <si>
    <t>Zaina Bahri</t>
  </si>
  <si>
    <t>azadwarrior@yahoo.com</t>
  </si>
  <si>
    <t>EMP1014</t>
  </si>
  <si>
    <t>Priyansh Bhavsar</t>
  </si>
  <si>
    <t>biswasmohanlal@gmail.com</t>
  </si>
  <si>
    <t>IT</t>
  </si>
  <si>
    <t>Bangalore</t>
  </si>
  <si>
    <t>EMP1015</t>
  </si>
  <si>
    <t>Diya Srinivas</t>
  </si>
  <si>
    <t>Not available</t>
  </si>
  <si>
    <t>Marketing</t>
  </si>
  <si>
    <t>EMP1016</t>
  </si>
  <si>
    <t>Zaina Chokshi</t>
  </si>
  <si>
    <t>EMP1017</t>
  </si>
  <si>
    <t>Dharmajan Borde</t>
  </si>
  <si>
    <t>lavanyashah@hotmail.com</t>
  </si>
  <si>
    <t>EMP1018</t>
  </si>
  <si>
    <t>Bhavin Borah</t>
  </si>
  <si>
    <t>halderadah@gokhale-dhingra.org</t>
  </si>
  <si>
    <t>EMP1019</t>
  </si>
  <si>
    <t>Saanvi Jani</t>
  </si>
  <si>
    <t>sahotainaaya@hotmail.com</t>
  </si>
  <si>
    <t>EMP1020</t>
  </si>
  <si>
    <t>Siya Sawhney</t>
  </si>
  <si>
    <t>gkakar@hotmail.com</t>
  </si>
  <si>
    <t>EMP1021</t>
  </si>
  <si>
    <t>Tarini Chaudry</t>
  </si>
  <si>
    <t>anahigoyal@shanker-bhatia.com</t>
  </si>
  <si>
    <t>EMP1022</t>
  </si>
  <si>
    <t>Aarna Madan</t>
  </si>
  <si>
    <t>shanayajayaraman@basak-borra.com</t>
  </si>
  <si>
    <t>EMP1023</t>
  </si>
  <si>
    <t>Zeeshan Seth</t>
  </si>
  <si>
    <t>divyansh59@sampath.com</t>
  </si>
  <si>
    <t>EMP1024</t>
  </si>
  <si>
    <t>Anya Bedi</t>
  </si>
  <si>
    <t>hcontractor@mandal.com</t>
  </si>
  <si>
    <t>EMP1025</t>
  </si>
  <si>
    <t>Yashvi Mani</t>
  </si>
  <si>
    <t>dthaker@yahoo.com</t>
  </si>
  <si>
    <t>EMP1026</t>
  </si>
  <si>
    <t>Manikya Comar</t>
  </si>
  <si>
    <t>sabharwalakarshhotmail@gmail.com</t>
  </si>
  <si>
    <t>EMP1027</t>
  </si>
  <si>
    <t>Kavya Bawa</t>
  </si>
  <si>
    <t>mthaman@mammen.biz</t>
  </si>
  <si>
    <t>EMP1028</t>
  </si>
  <si>
    <t>Reyansh Chander</t>
  </si>
  <si>
    <t>lroy@devi.org</t>
  </si>
  <si>
    <t>EMP1029</t>
  </si>
  <si>
    <t>Dishani Mangal</t>
  </si>
  <si>
    <t>EMP1030</t>
  </si>
  <si>
    <t>Zara Sani</t>
  </si>
  <si>
    <t>garginaaya@shah.com</t>
  </si>
  <si>
    <t>EMP1031</t>
  </si>
  <si>
    <t>Stuvan Kata</t>
  </si>
  <si>
    <t>ojasbains@manne.com</t>
  </si>
  <si>
    <t>EMP1032</t>
  </si>
  <si>
    <t>Aniruddh Sant</t>
  </si>
  <si>
    <t>shethhazel@gmail.com</t>
  </si>
  <si>
    <t>EMP1033</t>
  </si>
  <si>
    <t>Mahika Hari</t>
  </si>
  <si>
    <t>urvibabu@hotmail.com</t>
  </si>
  <si>
    <t>EMP1034</t>
  </si>
  <si>
    <t>Bhavin Sastry</t>
  </si>
  <si>
    <t>ishita28dyal.biz</t>
  </si>
  <si>
    <t>EMP1035</t>
  </si>
  <si>
    <t>Anya Dhar</t>
  </si>
  <si>
    <t>himmatdivan@kulkarni.com</t>
  </si>
  <si>
    <t>EMP1036</t>
  </si>
  <si>
    <t>Nayantara Brahmbhatt</t>
  </si>
  <si>
    <t>elakshi78@goda-sharma.net</t>
  </si>
  <si>
    <t>EMP1037</t>
  </si>
  <si>
    <t>Ritvik Amble</t>
  </si>
  <si>
    <t>jmammen@yahoo.com</t>
  </si>
  <si>
    <t>EMP1038</t>
  </si>
  <si>
    <t>Vedika Yadav</t>
  </si>
  <si>
    <t>cverma@mane.com</t>
  </si>
  <si>
    <t>EMP1039</t>
  </si>
  <si>
    <t>Neysa Khatri</t>
  </si>
  <si>
    <t>dhanukmajumdar@deshmukh-choudhry.com</t>
  </si>
  <si>
    <t>EMP1040</t>
  </si>
  <si>
    <t>Inaaya  Karpe</t>
  </si>
  <si>
    <t>biswaspurab@wason.com</t>
  </si>
  <si>
    <t>EMP1041</t>
  </si>
  <si>
    <t>Saira Apte</t>
  </si>
  <si>
    <t>samarsaran@karnik.com</t>
  </si>
  <si>
    <t>EMP1042</t>
  </si>
  <si>
    <t>Zara Rana</t>
  </si>
  <si>
    <t>hrishita29@gmail.com</t>
  </si>
  <si>
    <t>EMP1043</t>
  </si>
  <si>
    <t>Dhanuk Sridhar</t>
  </si>
  <si>
    <t>hridaanmallick@yahoo.com</t>
  </si>
  <si>
    <t>EMP1044</t>
  </si>
  <si>
    <t>Umang Kapur</t>
  </si>
  <si>
    <t>kiaravarkey@sanghvi-kurian.com</t>
  </si>
  <si>
    <t>EMP1045</t>
  </si>
  <si>
    <t>Kismat Mander</t>
  </si>
  <si>
    <t>rania54@yahoo.com</t>
  </si>
  <si>
    <t>EMP1046</t>
  </si>
  <si>
    <t>Akarsh Bedi</t>
  </si>
  <si>
    <t>fsandhu@banerjee-sandal.com</t>
  </si>
  <si>
    <t>EMP1047</t>
  </si>
  <si>
    <t>Prisha Karpe</t>
  </si>
  <si>
    <t>vedikathakkar@vora.com</t>
  </si>
  <si>
    <t>EMP1048</t>
  </si>
  <si>
    <t>Veer Sachdeva</t>
  </si>
  <si>
    <t>lakshay74@hotmail.com</t>
  </si>
  <si>
    <t>EMP1049</t>
  </si>
  <si>
    <t>Mishti Bir</t>
  </si>
  <si>
    <t>choudharyrania@hotmail.com</t>
  </si>
  <si>
    <t>EMP1050</t>
  </si>
  <si>
    <t>Rohan Sarraf</t>
  </si>
  <si>
    <t>aarushwason@mani.biz</t>
  </si>
  <si>
    <t>EMP1051</t>
  </si>
  <si>
    <t>Aarna Grewal</t>
  </si>
  <si>
    <t>EMP1052</t>
  </si>
  <si>
    <t>Fateh Singh</t>
  </si>
  <si>
    <t>prisha30@hotmail.com</t>
  </si>
  <si>
    <t>EMP1053</t>
  </si>
  <si>
    <t>Vritika Walla</t>
  </si>
  <si>
    <t>lavanya48@hotmail.com</t>
  </si>
  <si>
    <t>EMP1054</t>
  </si>
  <si>
    <t>Kanav Ratta</t>
  </si>
  <si>
    <t>xsha@chakrabarti.com</t>
  </si>
  <si>
    <t>EMP1055</t>
  </si>
  <si>
    <t>Badal Goswami</t>
  </si>
  <si>
    <t>guptakartik@hotmail.com</t>
  </si>
  <si>
    <t>EMP1056</t>
  </si>
  <si>
    <t>Vanya Sengupta</t>
  </si>
  <si>
    <t>chandelakshi@cheema.info</t>
  </si>
  <si>
    <t>EMP1057</t>
  </si>
  <si>
    <t>Shamik Bhavsar</t>
  </si>
  <si>
    <t>anayvenkatesh@yahoo.com</t>
  </si>
  <si>
    <t>EMP1058</t>
  </si>
  <si>
    <t>Kismat Arora</t>
  </si>
  <si>
    <t>dharhazel@bala.org</t>
  </si>
  <si>
    <t>EMP1059</t>
  </si>
  <si>
    <t>Tarini Loyal</t>
  </si>
  <si>
    <t>shalvsrivastava@dhingra.com</t>
  </si>
  <si>
    <t>EMP1060</t>
  </si>
  <si>
    <t>Emir Sastry</t>
  </si>
  <si>
    <t>samiha13@yahoo.com</t>
  </si>
  <si>
    <t>EMP1061</t>
  </si>
  <si>
    <t>Zoya Tandon</t>
  </si>
  <si>
    <t>ugola@bail.com</t>
  </si>
  <si>
    <t>EMP1062</t>
  </si>
  <si>
    <t>Mannat Banerjee</t>
  </si>
  <si>
    <t>ogoyal@krishna-kamdar.info</t>
  </si>
  <si>
    <t>EMP1063</t>
  </si>
  <si>
    <t>Adah Sridhar</t>
  </si>
  <si>
    <t>priyanshshere@yahoo.com</t>
  </si>
  <si>
    <t>EMP1064</t>
  </si>
  <si>
    <t>Anaya Salvi</t>
  </si>
  <si>
    <t>vritikasuresh@gmail.com</t>
  </si>
  <si>
    <t>EMP1065</t>
  </si>
  <si>
    <t>Rania Saraf</t>
  </si>
  <si>
    <t>saksham90@sarin.biz</t>
  </si>
  <si>
    <t>EMP1066</t>
  </si>
  <si>
    <t>Aradhya Mann</t>
  </si>
  <si>
    <t>bailehsaan@sami.net</t>
  </si>
  <si>
    <t>EMP1067</t>
  </si>
  <si>
    <t>Charvi Cherian</t>
  </si>
  <si>
    <t>EMP1068</t>
  </si>
  <si>
    <t>Bhamini Mangat</t>
  </si>
  <si>
    <t>fkuruvilla@gmail.com</t>
  </si>
  <si>
    <t>EMP1069</t>
  </si>
  <si>
    <t>Kanav Borde</t>
  </si>
  <si>
    <t>vanyasandal@lanka.org</t>
  </si>
  <si>
    <t>EMP1070</t>
  </si>
  <si>
    <t>Anya Grover</t>
  </si>
  <si>
    <t>deoaliaraval@gmail.com</t>
  </si>
  <si>
    <t>EMP1071</t>
  </si>
  <si>
    <t>Jivika Zachariah</t>
  </si>
  <si>
    <t>yhayer@kala.com</t>
  </si>
  <si>
    <t>EMP1072</t>
  </si>
  <si>
    <t>Farhan Keer</t>
  </si>
  <si>
    <t>boasepurab@gmail.com</t>
  </si>
  <si>
    <t>EMP1073</t>
  </si>
  <si>
    <t>Saksham Dua</t>
  </si>
  <si>
    <t>nakul82@gmail.com</t>
  </si>
  <si>
    <t>EMP1074</t>
  </si>
  <si>
    <t>Vanya Bajaj</t>
  </si>
  <si>
    <t>aarav68@talwar.com</t>
  </si>
  <si>
    <t>EMP1075</t>
  </si>
  <si>
    <t>Ishita Wali</t>
  </si>
  <si>
    <t>armaan64yahoo@gmail.com</t>
  </si>
  <si>
    <t>EMP1076</t>
  </si>
  <si>
    <t>Ritvik Balakrishnan</t>
  </si>
  <si>
    <t>achoudhary@hotmail.com</t>
  </si>
  <si>
    <t>EMP1077</t>
  </si>
  <si>
    <t>Zoya Mane</t>
  </si>
  <si>
    <t>kotalakshithotmail@gmail.com</t>
  </si>
  <si>
    <t>EMP1078</t>
  </si>
  <si>
    <t>Abram Hegde</t>
  </si>
  <si>
    <t>zrastogi@de-tank.com</t>
  </si>
  <si>
    <t>EMP1079</t>
  </si>
  <si>
    <t>Arhaan Lalla</t>
  </si>
  <si>
    <t>aaryahikrishnan@bhavsar.com</t>
  </si>
  <si>
    <t>EMP1080</t>
  </si>
  <si>
    <t>Dhruv Karan</t>
  </si>
  <si>
    <t>miraya88@hotmail.com</t>
  </si>
  <si>
    <t>EMP1081</t>
  </si>
  <si>
    <t>Dhruv Kadakia</t>
  </si>
  <si>
    <t>zarathakur@gmail.com</t>
  </si>
  <si>
    <t>EMP1082</t>
  </si>
  <si>
    <t>Hrishita Chakrabarti</t>
  </si>
  <si>
    <t>devanshdas@mallick.com</t>
  </si>
  <si>
    <t>EMP1083</t>
  </si>
  <si>
    <t>Kanav Barad</t>
  </si>
  <si>
    <t>sana60@yahoo.com</t>
  </si>
  <si>
    <t>EMP1084</t>
  </si>
  <si>
    <t>Aaryahi Kapoor</t>
  </si>
  <si>
    <t>shraytata@yahoo.com</t>
  </si>
  <si>
    <t>EMP1085</t>
  </si>
  <si>
    <t>Miraya Chatterjee</t>
  </si>
  <si>
    <t>sdhawan@dass.com</t>
  </si>
  <si>
    <t>EMP1086</t>
  </si>
  <si>
    <t>Akarsh Kashyap</t>
  </si>
  <si>
    <t>gkhosla@hotmail.com</t>
  </si>
  <si>
    <t>EMP1087</t>
  </si>
  <si>
    <t>Riaan Sahni</t>
  </si>
  <si>
    <t>siya42@atwal-jaggi.org</t>
  </si>
  <si>
    <t>EMP1088</t>
  </si>
  <si>
    <t>Yakshit Vig</t>
  </si>
  <si>
    <t>kabirvora@balan-kakar.info</t>
  </si>
  <si>
    <t>EMP1089</t>
  </si>
  <si>
    <t>Shaan Mangal</t>
  </si>
  <si>
    <t>qsuri@yahoo.com</t>
  </si>
  <si>
    <t>EMP1090</t>
  </si>
  <si>
    <t>Aarna Bhagat</t>
  </si>
  <si>
    <t>csen@hotmail.com</t>
  </si>
  <si>
    <t>EMP1091</t>
  </si>
  <si>
    <t>Charvi Gara</t>
  </si>
  <si>
    <t>lalpranay@tandon.com</t>
  </si>
  <si>
    <t>EMP1092</t>
  </si>
  <si>
    <t>Shamik Bera</t>
  </si>
  <si>
    <t>gramachandran@yahoo.com</t>
  </si>
  <si>
    <t>EMP1093</t>
  </si>
  <si>
    <t>Miraya Saini</t>
  </si>
  <si>
    <t>emirverma@hotmail.com</t>
  </si>
  <si>
    <t>EMP1094</t>
  </si>
  <si>
    <t>Jayan Chakraborty</t>
  </si>
  <si>
    <t>lviswanathan@sarma.com</t>
  </si>
  <si>
    <t>EMP1095</t>
  </si>
  <si>
    <t>Lakshit Dhaliwal</t>
  </si>
  <si>
    <t>kashvi47@kara.info</t>
  </si>
  <si>
    <t>EMP1096</t>
  </si>
  <si>
    <t>Rohan Dass</t>
  </si>
  <si>
    <t>rativarmamangal.org</t>
  </si>
  <si>
    <t>EMP1097</t>
  </si>
  <si>
    <t>Tara Kalla</t>
  </si>
  <si>
    <t>shamik86@kara.info</t>
  </si>
  <si>
    <t>EMP1098</t>
  </si>
  <si>
    <t>Lakshit Madan</t>
  </si>
  <si>
    <t>msaraf@hotmail.com</t>
  </si>
  <si>
    <t>EMP1099</t>
  </si>
  <si>
    <t>Adah Iyengar</t>
  </si>
  <si>
    <t>ldyal@bajwa.net</t>
  </si>
  <si>
    <t>EMP1100</t>
  </si>
  <si>
    <t>Stuvan Master</t>
  </si>
  <si>
    <t>akarshlad@gmail.com</t>
  </si>
  <si>
    <t>EMP1101</t>
  </si>
  <si>
    <t>Jhanvi Lalla</t>
  </si>
  <si>
    <t>bhasinaarav@gmail.com</t>
  </si>
  <si>
    <t>EMP1102</t>
  </si>
  <si>
    <t>Vedika Guha</t>
  </si>
  <si>
    <t>vivaandar@hotmail.com</t>
  </si>
  <si>
    <t>EMP1103</t>
  </si>
  <si>
    <t>Tanya Char</t>
  </si>
  <si>
    <t>fvarughese@ganesan.org</t>
  </si>
  <si>
    <t>EMP1104</t>
  </si>
  <si>
    <t>Darshit Subramanian</t>
  </si>
  <si>
    <t>bdeshpande@raman.com</t>
  </si>
  <si>
    <t>EMP1105</t>
  </si>
  <si>
    <t>Hansh Virk</t>
  </si>
  <si>
    <t>shanayamanda@sarkar-butala.net</t>
  </si>
  <si>
    <t>EMP1106</t>
  </si>
  <si>
    <t>Vidur Char</t>
  </si>
  <si>
    <t>gdar@deshmukh.org</t>
  </si>
  <si>
    <t>EMP1107</t>
  </si>
  <si>
    <t>Kartik Kara</t>
  </si>
  <si>
    <t>mangatarnav@wable.biz</t>
  </si>
  <si>
    <t>EMP1108</t>
  </si>
  <si>
    <t>Anahi Mander</t>
  </si>
  <si>
    <t>yashvikale@gour.com</t>
  </si>
  <si>
    <t>EMP1109</t>
  </si>
  <si>
    <t>Taran Gaba</t>
  </si>
  <si>
    <t>samaira50@yahoo.com</t>
  </si>
  <si>
    <t>EMP1110</t>
  </si>
  <si>
    <t>Hunar Shukla</t>
  </si>
  <si>
    <t>samarth39@gmail.com</t>
  </si>
  <si>
    <t>EMP1111</t>
  </si>
  <si>
    <t>Aaryahi Bhatt</t>
  </si>
  <si>
    <t>ojas46@yahoo.com</t>
  </si>
  <si>
    <t>EMP1112</t>
  </si>
  <si>
    <t>Oorja Bahri</t>
  </si>
  <si>
    <t>dewanpranay@gmail.com</t>
  </si>
  <si>
    <t>EMP1113</t>
  </si>
  <si>
    <t>Vritika Suresh</t>
  </si>
  <si>
    <t>EMP1114</t>
  </si>
  <si>
    <t>Nehmat Bajwa</t>
  </si>
  <si>
    <t>obehl@lall-ramakrishnan.com</t>
  </si>
  <si>
    <t>EMP1115</t>
  </si>
  <si>
    <t>Priyansh Srivastava</t>
  </si>
  <si>
    <t>bandiabram@baral-das.com</t>
  </si>
  <si>
    <t>EMP1116</t>
  </si>
  <si>
    <t>Armaan Walia</t>
  </si>
  <si>
    <t>thakkarojas@chandran.com</t>
  </si>
  <si>
    <t>EMP1117</t>
  </si>
  <si>
    <t>Vivaan Sibal</t>
  </si>
  <si>
    <t>baraldamini@dhingra.com</t>
  </si>
  <si>
    <t>EMP1118</t>
  </si>
  <si>
    <t>Jayant Bhatti</t>
  </si>
  <si>
    <t>jsanghvi@sidhu.org</t>
  </si>
  <si>
    <t>EMP1119</t>
  </si>
  <si>
    <t>Akarsh Ram</t>
  </si>
  <si>
    <t>isamra@yahoo.com</t>
  </si>
  <si>
    <t>EMP1120</t>
  </si>
  <si>
    <t>Misha Rajagopal</t>
  </si>
  <si>
    <t>sumeraurora@aggarwal.org</t>
  </si>
  <si>
    <t>EMP1121</t>
  </si>
  <si>
    <t>Drishya Amble</t>
  </si>
  <si>
    <t>umang78@hotmail.com</t>
  </si>
  <si>
    <t>EMP1122</t>
  </si>
  <si>
    <t>Mishti Grover</t>
  </si>
  <si>
    <t>manifarhan@saraf-venkatesh.com</t>
  </si>
  <si>
    <t>EMP1123</t>
  </si>
  <si>
    <t>Vritika Trivedi</t>
  </si>
  <si>
    <t>ivanjayaraman@gmail.com</t>
  </si>
  <si>
    <t>EMP1124</t>
  </si>
  <si>
    <t>Kabir Mani</t>
  </si>
  <si>
    <t>xsubramanian@hotmail.com</t>
  </si>
  <si>
    <t>EMP1125</t>
  </si>
  <si>
    <t>Vanya Kulkarni</t>
  </si>
  <si>
    <t>nitya46@gokhale-tak.com</t>
  </si>
  <si>
    <t>EMP1126</t>
  </si>
  <si>
    <t>Aniruddh Sathe</t>
  </si>
  <si>
    <t>wmadan@warrior.com</t>
  </si>
  <si>
    <t>EMP1127</t>
  </si>
  <si>
    <t>Aarna Barad</t>
  </si>
  <si>
    <t>oorja62kurian@gmail.com</t>
  </si>
  <si>
    <t>EMP1128</t>
  </si>
  <si>
    <t>Jiya Comar</t>
  </si>
  <si>
    <t>ebasak@hotmail.com</t>
  </si>
  <si>
    <t>EMP1129</t>
  </si>
  <si>
    <t>Vidur Mahajan</t>
  </si>
  <si>
    <t>ghosechirag@gmail.com</t>
  </si>
  <si>
    <t>EMP1130</t>
  </si>
  <si>
    <t>Ehsaan Raju</t>
  </si>
  <si>
    <t>bbhavsar@dewan.com</t>
  </si>
  <si>
    <t>EMP1131</t>
  </si>
  <si>
    <t>Zain Karan</t>
  </si>
  <si>
    <t>ramtanya@chokshi.org</t>
  </si>
  <si>
    <t>EMP1132</t>
  </si>
  <si>
    <t>Aarna Bawa</t>
  </si>
  <si>
    <t>mbhat@gmail.com</t>
  </si>
  <si>
    <t>EMP1133</t>
  </si>
  <si>
    <t>Saksham Rastogi</t>
  </si>
  <si>
    <t>damini57@yahoo.com</t>
  </si>
  <si>
    <t>EMP1134</t>
  </si>
  <si>
    <t>Nirvi Dutt</t>
  </si>
  <si>
    <t>sumerkulkarni@yohannan.net</t>
  </si>
  <si>
    <t>EMP1135</t>
  </si>
  <si>
    <t>Armaan Saran</t>
  </si>
  <si>
    <t>daminikaur@hotmail.com</t>
  </si>
  <si>
    <t>EMP1136</t>
  </si>
  <si>
    <t>Myra Atwal</t>
  </si>
  <si>
    <t>mannat58@sura.info</t>
  </si>
  <si>
    <t>EMP1137</t>
  </si>
  <si>
    <t>Gatik Kanda</t>
  </si>
  <si>
    <t>arnavbadami@hotmail.com</t>
  </si>
  <si>
    <t>EMP1138</t>
  </si>
  <si>
    <t>Aarush Jani</t>
  </si>
  <si>
    <t>miraankalita@gole.com</t>
  </si>
  <si>
    <t>EMP1139</t>
  </si>
  <si>
    <t>Baiju Sandal</t>
  </si>
  <si>
    <t>arhaansarkar@yahoo.com</t>
  </si>
  <si>
    <t>EMP1140</t>
  </si>
  <si>
    <t>Krish Agate</t>
  </si>
  <si>
    <t>nirvaankapadia@kant-bahri.com</t>
  </si>
  <si>
    <t>EMP1141</t>
  </si>
  <si>
    <t>Onkar Sarin</t>
  </si>
  <si>
    <t>magarhazel@hotmail.com</t>
  </si>
  <si>
    <t>EMP1142</t>
  </si>
  <si>
    <t>Zaina Dutta</t>
  </si>
  <si>
    <t>yashvivarghese@kuruvilla-chand.com</t>
  </si>
  <si>
    <t>EMP1143</t>
  </si>
  <si>
    <t>Vaibhav Yogi</t>
  </si>
  <si>
    <t>onkarsidhu@hotmail.com</t>
  </si>
  <si>
    <t>EMP1144</t>
  </si>
  <si>
    <t>Kanav Setty</t>
  </si>
  <si>
    <t>tswaminathansami@gmail.com</t>
  </si>
  <si>
    <t>EMP1145</t>
  </si>
  <si>
    <t>Saanvi Gulati</t>
  </si>
  <si>
    <t>qsharaf@gmail.com</t>
  </si>
  <si>
    <t>EMP1146</t>
  </si>
  <si>
    <t>Tiya Sarna</t>
  </si>
  <si>
    <t>lkarpebutala.net</t>
  </si>
  <si>
    <t>EMP1147</t>
  </si>
  <si>
    <t>Aradhya Bhasin</t>
  </si>
  <si>
    <t>riaan15@yahoo.com</t>
  </si>
  <si>
    <t>EMP1148</t>
  </si>
  <si>
    <t>Alisha Baral</t>
  </si>
  <si>
    <t>lbava@kaul.com</t>
  </si>
  <si>
    <t>EMP1149</t>
  </si>
  <si>
    <t>Dhanush Walla</t>
  </si>
  <si>
    <t>alia14@gmail.com</t>
  </si>
  <si>
    <t>EMP1150</t>
  </si>
  <si>
    <t>Dhanush Soman</t>
  </si>
  <si>
    <t>aaina06@dash.biz</t>
  </si>
  <si>
    <t>EMP1151</t>
  </si>
  <si>
    <t>Mamooty Gade</t>
  </si>
  <si>
    <t>baiju87@master.com</t>
  </si>
  <si>
    <t>EMP1152</t>
  </si>
  <si>
    <t>Seher Rao</t>
  </si>
  <si>
    <t>kbhargavagmail@gmail.com</t>
  </si>
  <si>
    <t>EMP1153</t>
  </si>
  <si>
    <t>Diya Datta</t>
  </si>
  <si>
    <t>khatrinirvaan@mammen.biz</t>
  </si>
  <si>
    <t>EMP1154</t>
  </si>
  <si>
    <t>Miraya Cherian</t>
  </si>
  <si>
    <t>aaravgade@mani.com</t>
  </si>
  <si>
    <t>EMP1155</t>
  </si>
  <si>
    <t>Lakshay Mannan</t>
  </si>
  <si>
    <t>onkar03@hotmail.com</t>
  </si>
  <si>
    <t>EMP1156</t>
  </si>
  <si>
    <t>Rasha Acharya</t>
  </si>
  <si>
    <t>EMP1157</t>
  </si>
  <si>
    <t>Vaibhav Hegde</t>
  </si>
  <si>
    <t>bajajrasha@hotmail.com</t>
  </si>
  <si>
    <t>EMP1158</t>
  </si>
  <si>
    <t>Ryan Goyal</t>
  </si>
  <si>
    <t>anayrout@comar.com</t>
  </si>
  <si>
    <t>EMP1159</t>
  </si>
  <si>
    <t>Tarini Gupta</t>
  </si>
  <si>
    <t>gatikjain@hotmail.com</t>
  </si>
  <si>
    <t>EMP1160</t>
  </si>
  <si>
    <t>Anahita Bhavsar</t>
  </si>
  <si>
    <t>hsoman@hotmail.com</t>
  </si>
  <si>
    <t>EMP1161</t>
  </si>
  <si>
    <t>Anya Bir</t>
  </si>
  <si>
    <t>fshukla@hotmail.com</t>
  </si>
  <si>
    <t>EMP1162</t>
  </si>
  <si>
    <t>Tiya Varty</t>
  </si>
  <si>
    <t>hrishitadada@gmail.com</t>
  </si>
  <si>
    <t>EMP1163</t>
  </si>
  <si>
    <t>Emir Dixit</t>
  </si>
  <si>
    <t>vanya91@jha.com</t>
  </si>
  <si>
    <t>EMP1164</t>
  </si>
  <si>
    <t>Navya Biswas</t>
  </si>
  <si>
    <t>manjaribobal@dave.net</t>
  </si>
  <si>
    <t>EMP1165</t>
  </si>
  <si>
    <t>Purab Sarin</t>
  </si>
  <si>
    <t>ukarpe@mand.com</t>
  </si>
  <si>
    <t>EMP1166</t>
  </si>
  <si>
    <t>Urvi Borra</t>
  </si>
  <si>
    <t>adhaliwal@uppal.biz</t>
  </si>
  <si>
    <t>EMP1167</t>
  </si>
  <si>
    <t>Aarush Sur</t>
  </si>
  <si>
    <t>mamootykale@gmail.com</t>
  </si>
  <si>
    <t>EMP1168</t>
  </si>
  <si>
    <t>Lagan Grover</t>
  </si>
  <si>
    <t>nmander@dass-kota.info</t>
  </si>
  <si>
    <t>EMP1169</t>
  </si>
  <si>
    <t>Aarna Gandhi</t>
  </si>
  <si>
    <t>indrans03@gmail.com</t>
  </si>
  <si>
    <t>EMP1170</t>
  </si>
  <si>
    <t>Ira Lad</t>
  </si>
  <si>
    <t>edoshi@gmail.com</t>
  </si>
  <si>
    <t>EMP1171</t>
  </si>
  <si>
    <t>Zeeshan Kumer</t>
  </si>
  <si>
    <t>samar15ratta-kanda.org</t>
  </si>
  <si>
    <t>EMP1172</t>
  </si>
  <si>
    <t>Pihu Ghosh</t>
  </si>
  <si>
    <t>aarush53@halder-dash.info</t>
  </si>
  <si>
    <t>EMP1173</t>
  </si>
  <si>
    <t>Manikya Banerjee</t>
  </si>
  <si>
    <t>hazel98@hotmail.com</t>
  </si>
  <si>
    <t>EMP1174</t>
  </si>
  <si>
    <t>Manjari Butala</t>
  </si>
  <si>
    <t>EMP1175</t>
  </si>
  <si>
    <t>Madhup Hans</t>
  </si>
  <si>
    <t>hganguly@jani.com</t>
  </si>
  <si>
    <t>EMP1176</t>
  </si>
  <si>
    <t>Shray Loyal</t>
  </si>
  <si>
    <t>sanghvisara@mallick.com</t>
  </si>
  <si>
    <t>EMP1177</t>
  </si>
  <si>
    <t>Hansh Hari</t>
  </si>
  <si>
    <t>msubramaniam@sharaf-bala.com</t>
  </si>
  <si>
    <t>EMP1178</t>
  </si>
  <si>
    <t>Aaryahi Saini</t>
  </si>
  <si>
    <t>riaansharma@keer-raval.net</t>
  </si>
  <si>
    <t>EMP1179</t>
  </si>
  <si>
    <t>Kavya Dugar</t>
  </si>
  <si>
    <t>tatayuvraj@kunda.com</t>
  </si>
  <si>
    <t>EMP1180</t>
  </si>
  <si>
    <t>Tejas Raja</t>
  </si>
  <si>
    <t>jayesh67@devan.com</t>
  </si>
  <si>
    <t>EMP1181</t>
  </si>
  <si>
    <t>Ritvik Chacko</t>
  </si>
  <si>
    <t>sibalsumer@gmail.com</t>
  </si>
  <si>
    <t>EMP1182</t>
  </si>
  <si>
    <t>Jayant Chandra</t>
  </si>
  <si>
    <t>vardaniyasavant@yahoo.com</t>
  </si>
  <si>
    <t>EMP1183</t>
  </si>
  <si>
    <t>Sara Thaker</t>
  </si>
  <si>
    <t>kismat52@gaba.biz</t>
  </si>
  <si>
    <t>EMP1184</t>
  </si>
  <si>
    <t>Indranil Talwar</t>
  </si>
  <si>
    <t>raokeya@yahoo.com</t>
  </si>
  <si>
    <t>EMP1185</t>
  </si>
  <si>
    <t>Armaan Dara</t>
  </si>
  <si>
    <t>shenoyelakshi@yahoo.com</t>
  </si>
  <si>
    <t>EMP1186</t>
  </si>
  <si>
    <t>Parinaaz Subramanian</t>
  </si>
  <si>
    <t>yuvaan35@yahoo.com</t>
  </si>
  <si>
    <t>EMP1187</t>
  </si>
  <si>
    <t>Rania Kaul</t>
  </si>
  <si>
    <t>raghavbhaktagmail@gmail.com</t>
  </si>
  <si>
    <t>EMP1188</t>
  </si>
  <si>
    <t>Zara Khosla</t>
  </si>
  <si>
    <t>EMP1189</t>
  </si>
  <si>
    <t>Tara Malhotra</t>
  </si>
  <si>
    <t>aliashankar@dara.com</t>
  </si>
  <si>
    <t>EMP1190</t>
  </si>
  <si>
    <t>Gatik Bora</t>
  </si>
  <si>
    <t>athakkar@hotmail.com</t>
  </si>
  <si>
    <t>EMP1191</t>
  </si>
  <si>
    <t>Ehsaan Bumb</t>
  </si>
  <si>
    <t>tgoel@bumb-khalsa.com</t>
  </si>
  <si>
    <t>EMP1192</t>
  </si>
  <si>
    <t>Kabir Wagle</t>
  </si>
  <si>
    <t>arhaan84@behl.com</t>
  </si>
  <si>
    <t>EMP1193</t>
  </si>
  <si>
    <t>Advik Chawla</t>
  </si>
  <si>
    <t>oganesan@barman.com</t>
  </si>
  <si>
    <t>EMP1194</t>
  </si>
  <si>
    <t>Dhanuk Bajwa</t>
  </si>
  <si>
    <t>ishaan58gmail@gmail.com</t>
  </si>
  <si>
    <t>EMP1195</t>
  </si>
  <si>
    <t>Hunar Mammen</t>
  </si>
  <si>
    <t>dsachar@yogi.info</t>
  </si>
  <si>
    <t>EMP1196</t>
  </si>
  <si>
    <t>Uthkarsh Singhal</t>
  </si>
  <si>
    <t>wborde@soman-buch.net</t>
  </si>
  <si>
    <t>EMP1197</t>
  </si>
  <si>
    <t>Eva Tara</t>
  </si>
  <si>
    <t>lallauthkarsh@deshpande.biz</t>
  </si>
  <si>
    <t>EMP1198</t>
  </si>
  <si>
    <t>Alia Tata</t>
  </si>
  <si>
    <t>balakrishnanaliayahoo@gmail.com</t>
  </si>
  <si>
    <t>EMP1199</t>
  </si>
  <si>
    <t>Nayantara Varghese</t>
  </si>
  <si>
    <t>mamooty04@hotmail.com</t>
  </si>
  <si>
    <t>EMP1200</t>
  </si>
  <si>
    <t>Saanvi Bath</t>
  </si>
  <si>
    <t>golasana@deol.net</t>
  </si>
  <si>
    <t>EMP1201</t>
  </si>
  <si>
    <t>Anahita Khalsa</t>
  </si>
  <si>
    <t>bedidivyansh@yahoo.com</t>
  </si>
  <si>
    <t>EMP1202</t>
  </si>
  <si>
    <t>Samiha Chander</t>
  </si>
  <si>
    <t>wmanivasa@gmail.com</t>
  </si>
  <si>
    <t>EMP1203</t>
  </si>
  <si>
    <t>Advik Rau</t>
  </si>
  <si>
    <t>navyadasgupta@yahoo.com</t>
  </si>
  <si>
    <t>EMP1204</t>
  </si>
  <si>
    <t>Myra Zacharia</t>
  </si>
  <si>
    <t>yashvisrinivas@yahoo.com</t>
  </si>
  <si>
    <t>EMP1205</t>
  </si>
  <si>
    <t>Trisha Mani</t>
  </si>
  <si>
    <t>abath@hotmail.com</t>
  </si>
  <si>
    <t>EMP1206</t>
  </si>
  <si>
    <t>Shray Konda</t>
  </si>
  <si>
    <t>shraydara@khalsa.com</t>
  </si>
  <si>
    <t>EMP1207</t>
  </si>
  <si>
    <t>Shray Khare</t>
  </si>
  <si>
    <t>EMP1208</t>
  </si>
  <si>
    <t>Navya Shah</t>
  </si>
  <si>
    <t>bakshihansh@yahoo.com</t>
  </si>
  <si>
    <t>EMP1209</t>
  </si>
  <si>
    <t>Kabir Borah</t>
  </si>
  <si>
    <t>qsharafhotmail@gmail.com</t>
  </si>
  <si>
    <t>EMP1210</t>
  </si>
  <si>
    <t>Anaya Biswas</t>
  </si>
  <si>
    <t>sachdevafaiyaz@butala-ray.com</t>
  </si>
  <si>
    <t>EMP1211</t>
  </si>
  <si>
    <t>Hiran Maharaj</t>
  </si>
  <si>
    <t>drishyakhanna@sachdev-de.org</t>
  </si>
  <si>
    <t>EMP1212</t>
  </si>
  <si>
    <t>Devansh Krish</t>
  </si>
  <si>
    <t>suhana21@lal.com</t>
  </si>
  <si>
    <t>EMP1213</t>
  </si>
  <si>
    <t>Dhanuk Bawa</t>
  </si>
  <si>
    <t>vedika37sridhar-ramesh@gmail.com</t>
  </si>
  <si>
    <t>EMP1214</t>
  </si>
  <si>
    <t>Rania Loyal</t>
  </si>
  <si>
    <t>hansh07@hotmail.com</t>
  </si>
  <si>
    <t>EMP1215</t>
  </si>
  <si>
    <t>Farhan Jhaveri</t>
  </si>
  <si>
    <t>kavyagade@hotmail.com</t>
  </si>
  <si>
    <t>EMP1216</t>
  </si>
  <si>
    <t>Stuvan Rout</t>
  </si>
  <si>
    <t>hbanerjee@basu.com</t>
  </si>
  <si>
    <t>EMP1217</t>
  </si>
  <si>
    <t>Madhup Gera</t>
  </si>
  <si>
    <t>saanvi80@dua-dhillon.com</t>
  </si>
  <si>
    <t>EMP1218</t>
  </si>
  <si>
    <t>Uthkarsh Chokshi</t>
  </si>
  <si>
    <t>vohrasamiha@gmail.com</t>
  </si>
  <si>
    <t>EMP1219</t>
  </si>
  <si>
    <t>Pranay Gupta</t>
  </si>
  <si>
    <t>hdhawan@hotmail.com</t>
  </si>
  <si>
    <t>EMP1220</t>
  </si>
  <si>
    <t>Ivan Shan</t>
  </si>
  <si>
    <t>samairakarnik@hotmail.com</t>
  </si>
  <si>
    <t>EMP1221</t>
  </si>
  <si>
    <t>Ishita Dar</t>
  </si>
  <si>
    <t>tusharde@sarna.net</t>
  </si>
  <si>
    <t>EMP1222</t>
  </si>
  <si>
    <t>Tarini Trivedi</t>
  </si>
  <si>
    <t>mehuldeep@divan.biz</t>
  </si>
  <si>
    <t>EMP1223</t>
  </si>
  <si>
    <t>Tanya Badal</t>
  </si>
  <si>
    <t>ymahal@gmail.com</t>
  </si>
  <si>
    <t>EMP1224</t>
  </si>
  <si>
    <t>Vidur Lall</t>
  </si>
  <si>
    <t>hazeldube@gmail.com</t>
  </si>
  <si>
    <t>EMP1225</t>
  </si>
  <si>
    <t>Amani Chander</t>
  </si>
  <si>
    <t>nayantara98@bail.info</t>
  </si>
  <si>
    <t>EMP1226</t>
  </si>
  <si>
    <t>Bhamini Sagar</t>
  </si>
  <si>
    <t>raunak76@malhotra-buch.info</t>
  </si>
  <si>
    <t>EMP1227</t>
  </si>
  <si>
    <t>Baiju Jani</t>
  </si>
  <si>
    <t>shayak08@ghose-issac.com</t>
  </si>
  <si>
    <t>EMP1228</t>
  </si>
  <si>
    <t>Jayan Viswanathan</t>
  </si>
  <si>
    <t>sekhonaniruddh@yahoo.com</t>
  </si>
  <si>
    <t>EMP1229</t>
  </si>
  <si>
    <t>Emir Khare</t>
  </si>
  <si>
    <t>eva50@hotmail.com</t>
  </si>
  <si>
    <t>EMP1230</t>
  </si>
  <si>
    <t>Samarth Gandhi</t>
  </si>
  <si>
    <t>msem@khare.org</t>
  </si>
  <si>
    <t>EMP1231</t>
  </si>
  <si>
    <t>Rohan Kunda</t>
  </si>
  <si>
    <t>dtiwari@gmail.com</t>
  </si>
  <si>
    <t>EMP1232</t>
  </si>
  <si>
    <t>Raunak Devi</t>
  </si>
  <si>
    <t>ykrish@basak.com</t>
  </si>
  <si>
    <t>EMP1233</t>
  </si>
  <si>
    <t>Manjari Toor</t>
  </si>
  <si>
    <t>jayaramannishithbhattacharyya.biz</t>
  </si>
  <si>
    <t>EMP1234</t>
  </si>
  <si>
    <t>Tiya Yohannan</t>
  </si>
  <si>
    <t>anneseher@hotmail.com</t>
  </si>
  <si>
    <t>EMP1235</t>
  </si>
  <si>
    <t>Aniruddh Singhal</t>
  </si>
  <si>
    <t>darshitchandra@raja.com</t>
  </si>
  <si>
    <t>EMP1236</t>
  </si>
  <si>
    <t>Navya Lalla</t>
  </si>
  <si>
    <t>zeeshan82@dugal.com</t>
  </si>
  <si>
    <t>EMP1237</t>
  </si>
  <si>
    <t>Madhav Kibe</t>
  </si>
  <si>
    <t>shayakchoudhary@brahmbhatt-karpe.net</t>
  </si>
  <si>
    <t>EMP1238</t>
  </si>
  <si>
    <t>Nehmat Chana</t>
  </si>
  <si>
    <t>lkhannadevan@gmail.com</t>
  </si>
  <si>
    <t>EMP1239</t>
  </si>
  <si>
    <t>Neelofar Goswami</t>
  </si>
  <si>
    <t>slala@gmail.com</t>
  </si>
  <si>
    <t>EMP1240</t>
  </si>
  <si>
    <t>Alia Sarkar</t>
  </si>
  <si>
    <t>nishithmane@hotmail.com</t>
  </si>
  <si>
    <t>EMP1241</t>
  </si>
  <si>
    <t>Emir Seshadri</t>
  </si>
  <si>
    <t>kalamamooty@luthra.com</t>
  </si>
  <si>
    <t>EMP1242</t>
  </si>
  <si>
    <t>Yashvi Karnik</t>
  </si>
  <si>
    <t>nityasrivastavayahoo@gmail.com</t>
  </si>
  <si>
    <t>EMP1243</t>
  </si>
  <si>
    <t>Shray Boase</t>
  </si>
  <si>
    <t>biju88@gara.com</t>
  </si>
  <si>
    <t>EMP1244</t>
  </si>
  <si>
    <t>Chirag Khalsa</t>
  </si>
  <si>
    <t>anaya98@yahoo.com</t>
  </si>
  <si>
    <t>EMP1245</t>
  </si>
  <si>
    <t>guptanirvaan@yahoo.com</t>
  </si>
  <si>
    <t>EMP1246</t>
  </si>
  <si>
    <t>Ishita Dhawan</t>
  </si>
  <si>
    <t>elakshikhalsamann.org</t>
  </si>
  <si>
    <t>EMP1247</t>
  </si>
  <si>
    <t>Dhanush Sharma</t>
  </si>
  <si>
    <t>baijubhasin@ganesan-de.com</t>
  </si>
  <si>
    <t>EMP1248</t>
  </si>
  <si>
    <t>Ivana Swamy</t>
  </si>
  <si>
    <t>uthkarsh10@sen-amble.info</t>
  </si>
  <si>
    <t>EMP1249</t>
  </si>
  <si>
    <t>Ishita Bera</t>
  </si>
  <si>
    <t>sanakhosla@khatri.info</t>
  </si>
  <si>
    <t>EMP1250</t>
  </si>
  <si>
    <t>Samiha Subramaniam</t>
  </si>
  <si>
    <t>brahmbhattkartik@yahoo.com</t>
  </si>
  <si>
    <t>EMP1251</t>
  </si>
  <si>
    <t>Zeeshan Sankar</t>
  </si>
  <si>
    <t>ekuruvilla@gole.net</t>
  </si>
  <si>
    <t>EMP1252</t>
  </si>
  <si>
    <t>Mamooty Zachariah</t>
  </si>
  <si>
    <t>ranbir65@gmail.com</t>
  </si>
  <si>
    <t>EMP1253</t>
  </si>
  <si>
    <t>Onkar Chauhan</t>
  </si>
  <si>
    <t>jiya16@gmail.com</t>
  </si>
  <si>
    <t>EMP1254</t>
  </si>
  <si>
    <t>Ivan Char</t>
  </si>
  <si>
    <t>lakshay65@sarna.net</t>
  </si>
  <si>
    <t>EMP1255</t>
  </si>
  <si>
    <t>Khushi Balakrishnan</t>
  </si>
  <si>
    <t>arhaansavant@yahoo.com</t>
  </si>
  <si>
    <t>EMP1256</t>
  </si>
  <si>
    <t>Fateh Gill</t>
  </si>
  <si>
    <t>vritikakalla@gmail.com</t>
  </si>
  <si>
    <t>EMP1257</t>
  </si>
  <si>
    <t>Ranbir Vyas</t>
  </si>
  <si>
    <t>devanshkant@yahoo.com</t>
  </si>
  <si>
    <t>EMP1258</t>
  </si>
  <si>
    <t>Emir Bal</t>
  </si>
  <si>
    <t>balakrishnanayesha@gmail.com</t>
  </si>
  <si>
    <t>EMP1259</t>
  </si>
  <si>
    <t>Neelofar Dutta</t>
  </si>
  <si>
    <t>nakul41hegde-hans@gmail.com</t>
  </si>
  <si>
    <t>EMP1260</t>
  </si>
  <si>
    <t>Baiju Kanda</t>
  </si>
  <si>
    <t>tusharbehl@vohra.com</t>
  </si>
  <si>
    <t>EMP1261</t>
  </si>
  <si>
    <t>Dhanuk Kaul</t>
  </si>
  <si>
    <t>bmagar@hotmail.com</t>
  </si>
  <si>
    <t>EMP1262</t>
  </si>
  <si>
    <t>Saksham Garg</t>
  </si>
  <si>
    <t>mannanishaan@gmail.com</t>
  </si>
  <si>
    <t>EMP1263</t>
  </si>
  <si>
    <t>Adira Barad</t>
  </si>
  <si>
    <t>bdutta@sandal.info</t>
  </si>
  <si>
    <t>EMP1264</t>
  </si>
  <si>
    <t>Priyansh Devi</t>
  </si>
  <si>
    <t>jivikasuresh@dugar-balasubramanian.org</t>
  </si>
  <si>
    <t>EMP1265</t>
  </si>
  <si>
    <t>Siya Kashyap</t>
  </si>
  <si>
    <t>divyansh46ratti.biz</t>
  </si>
  <si>
    <t>EMP1266</t>
  </si>
  <si>
    <t>Shalv Bajwa</t>
  </si>
  <si>
    <t>khushidubey@hotmail.com</t>
  </si>
  <si>
    <t>EMP1267</t>
  </si>
  <si>
    <t>Saanvi Raju</t>
  </si>
  <si>
    <t>mahika14@acharya.com</t>
  </si>
  <si>
    <t>EMP1268</t>
  </si>
  <si>
    <t>Hansh Lala</t>
  </si>
  <si>
    <t>drishya79@hotmail.com</t>
  </si>
  <si>
    <t>EMP1269</t>
  </si>
  <si>
    <t>Zara Ranganathan</t>
  </si>
  <si>
    <t>irameshyahoo@gmail.com</t>
  </si>
  <si>
    <t>EMP1270</t>
  </si>
  <si>
    <t>Ranbir Arya</t>
  </si>
  <si>
    <t>khushi59@srivastava.com</t>
  </si>
  <si>
    <t>EMP1271</t>
  </si>
  <si>
    <t>Shalv Sankar</t>
  </si>
  <si>
    <t>mandalsiyahotmail@gmail.com</t>
  </si>
  <si>
    <t>EMP1272</t>
  </si>
  <si>
    <t>Onkar Edwin</t>
  </si>
  <si>
    <t>navyaghoseyahoo@gmail.com</t>
  </si>
  <si>
    <t>EMP1273</t>
  </si>
  <si>
    <t>Vedika Khatri</t>
  </si>
  <si>
    <t>idharwadhwa.biz</t>
  </si>
  <si>
    <t>EMP1274</t>
  </si>
  <si>
    <t>Navya Date</t>
  </si>
  <si>
    <t>prerak98setty@gmail.com</t>
  </si>
  <si>
    <t>EMP1275</t>
  </si>
  <si>
    <t>Jivin Grover</t>
  </si>
  <si>
    <t>samihavasayahoo@gmail.com</t>
  </si>
  <si>
    <t>EMP1276</t>
  </si>
  <si>
    <t>Zain Bahri</t>
  </si>
  <si>
    <t>kimayavohra@bhavsar.com</t>
  </si>
  <si>
    <t>EMP1277</t>
  </si>
  <si>
    <t>Advik Gara</t>
  </si>
  <si>
    <t>ksaha@iyer.net</t>
  </si>
  <si>
    <t>EMP1278</t>
  </si>
  <si>
    <t>Advika Kunda</t>
  </si>
  <si>
    <t>ehsaan54@basu-sood.com</t>
  </si>
  <si>
    <t>EMP1279</t>
  </si>
  <si>
    <t>Umang Atwal</t>
  </si>
  <si>
    <t>ishaankari@hotmail.com</t>
  </si>
  <si>
    <t>EMP1280</t>
  </si>
  <si>
    <t>Shayak Chada</t>
  </si>
  <si>
    <t>birsaanvi@koshy-soman.com</t>
  </si>
  <si>
    <t>EMP1281</t>
  </si>
  <si>
    <t>Tara Sen</t>
  </si>
  <si>
    <t>mishtikibe@yahoo.com</t>
  </si>
  <si>
    <t>EMP1282</t>
  </si>
  <si>
    <t>Taimur Kadakia</t>
  </si>
  <si>
    <t>buchraunak@wason.com</t>
  </si>
  <si>
    <t>EMP1283</t>
  </si>
  <si>
    <t>Lagan Lala</t>
  </si>
  <si>
    <t>ibanerjee@gmail.com</t>
  </si>
  <si>
    <t>EMP1284</t>
  </si>
  <si>
    <t>Armaan Dhar</t>
  </si>
  <si>
    <t>stuvanchaudhuri@yahoo.com</t>
  </si>
  <si>
    <t>EMP1285</t>
  </si>
  <si>
    <t>Vanya Wason</t>
  </si>
  <si>
    <t>zain48@kadakia.com</t>
  </si>
  <si>
    <t>EMP1286</t>
  </si>
  <si>
    <t>Khushi Som</t>
  </si>
  <si>
    <t>eshroff@hotmail.com</t>
  </si>
  <si>
    <t>EMP1287</t>
  </si>
  <si>
    <t>Sumer Hora</t>
  </si>
  <si>
    <t>jiyareddy@aggarwal.info</t>
  </si>
  <si>
    <t>EMP1288</t>
  </si>
  <si>
    <t>Uthkarsh Rattan</t>
  </si>
  <si>
    <t>seshadrijayan@yahoo.com</t>
  </si>
  <si>
    <t>EMP1289</t>
  </si>
  <si>
    <t>Nishith Bandi</t>
  </si>
  <si>
    <t>mishti49@gmail.com</t>
  </si>
  <si>
    <t>EMP1290</t>
  </si>
  <si>
    <t>Anvi Saraf</t>
  </si>
  <si>
    <t>ssant@hotmail.com</t>
  </si>
  <si>
    <t>EMP1291</t>
  </si>
  <si>
    <t>Vidur Baria</t>
  </si>
  <si>
    <t>nsibal@mallick.com</t>
  </si>
  <si>
    <t>EMP1292</t>
  </si>
  <si>
    <t>Faiyaz Gade</t>
  </si>
  <si>
    <t>deepindrans@ahluwalia.com</t>
  </si>
  <si>
    <t>EMP1293</t>
  </si>
  <si>
    <t>Vritika Karpe</t>
  </si>
  <si>
    <t>azad10@hotmail.com</t>
  </si>
  <si>
    <t>EMP1294</t>
  </si>
  <si>
    <t>Ritvik Bandi</t>
  </si>
  <si>
    <t>obajwa@hotmail.com</t>
  </si>
  <si>
    <t>EMP1295</t>
  </si>
  <si>
    <t>Anaya Anand</t>
  </si>
  <si>
    <t>pgolaramakrishnan.info</t>
  </si>
  <si>
    <t>EMP1296</t>
  </si>
  <si>
    <t>Vanya Hegde</t>
  </si>
  <si>
    <t>adah52@sampath.info</t>
  </si>
  <si>
    <t>EMP1297</t>
  </si>
  <si>
    <t>Aradhya Raman</t>
  </si>
  <si>
    <t>manjarichaudhry@gmail.com</t>
  </si>
  <si>
    <t>EMP1298</t>
  </si>
  <si>
    <t>Faiyaz Dyal</t>
  </si>
  <si>
    <t>navyachoudhry@jhaveri.net</t>
  </si>
  <si>
    <t>EMP1299</t>
  </si>
  <si>
    <t>Pranay Din</t>
  </si>
  <si>
    <t>myrakakar@bumb.com</t>
  </si>
  <si>
    <t>EMP1300</t>
  </si>
  <si>
    <t>Vardaniya Lal</t>
  </si>
  <si>
    <t>EMP1301</t>
  </si>
  <si>
    <t>Nehmat Goswami</t>
  </si>
  <si>
    <t>taimur74@chana.info</t>
  </si>
  <si>
    <t>EMP1302</t>
  </si>
  <si>
    <t>Amira Raman</t>
  </si>
  <si>
    <t>mohanlaldasgupta@hotmail.com</t>
  </si>
  <si>
    <t>EMP1303</t>
  </si>
  <si>
    <t>Anvi Bhatt</t>
  </si>
  <si>
    <t>dsandhu@yahoo.com</t>
  </si>
  <si>
    <t>EMP1304</t>
  </si>
  <si>
    <t>Ranbir Barman</t>
  </si>
  <si>
    <t>yohannankanav@thakkar.com</t>
  </si>
  <si>
    <t>EMP1305</t>
  </si>
  <si>
    <t>Jiya Rajagopal</t>
  </si>
  <si>
    <t>fsawhney@hotmail.com</t>
  </si>
  <si>
    <t>EMP1306</t>
  </si>
  <si>
    <t>Rasha Tata</t>
  </si>
  <si>
    <t>zainganesan@gmail.com</t>
  </si>
  <si>
    <t>EMP1307</t>
  </si>
  <si>
    <t>Zaina Hayre</t>
  </si>
  <si>
    <t>auroravardaniyathakur-halder@gmail.com</t>
  </si>
  <si>
    <t>EMP1308</t>
  </si>
  <si>
    <t>Azad Chaudhary</t>
  </si>
  <si>
    <t>krana@sura.org</t>
  </si>
  <si>
    <t>EMP1309</t>
  </si>
  <si>
    <t>Pihu Sarna</t>
  </si>
  <si>
    <t>bsibalagate-buch.org</t>
  </si>
  <si>
    <t>EMP1310</t>
  </si>
  <si>
    <t>Ritvik Shetty</t>
  </si>
  <si>
    <t>qsalvihotmail@gmail.com</t>
  </si>
  <si>
    <t>EMP1311</t>
  </si>
  <si>
    <t>Suhana Vohra</t>
  </si>
  <si>
    <t>mbiswas@gmail.com</t>
  </si>
  <si>
    <t>EMP1312</t>
  </si>
  <si>
    <t>Aaryahi Gala</t>
  </si>
  <si>
    <t>eladasgupta@kothari-kohli.net</t>
  </si>
  <si>
    <t>EMP1313</t>
  </si>
  <si>
    <t>Vardaniya Sankar</t>
  </si>
  <si>
    <t>lakshayagarwal@yahoo.com</t>
  </si>
  <si>
    <t>EMP1314</t>
  </si>
  <si>
    <t>Shamik Chacko</t>
  </si>
  <si>
    <t>chakrabartineysa@seth.com</t>
  </si>
  <si>
    <t>EMP1315</t>
  </si>
  <si>
    <t>Prerak Dass</t>
  </si>
  <si>
    <t>borrakhushi@gmail.com</t>
  </si>
  <si>
    <t>EMP1316</t>
  </si>
  <si>
    <t>Nehmat Master</t>
  </si>
  <si>
    <t>faiyazzacharia@batra.com</t>
  </si>
  <si>
    <t>EMP1317</t>
  </si>
  <si>
    <t>Reyansh Bhardwaj</t>
  </si>
  <si>
    <t>qdutt@chandran.com</t>
  </si>
  <si>
    <t>EMP1318</t>
  </si>
  <si>
    <t>Faiyaz Sha</t>
  </si>
  <si>
    <t>bmannan@gmail.com</t>
  </si>
  <si>
    <t>EMP1319</t>
  </si>
  <si>
    <t>Pari Yohannan</t>
  </si>
  <si>
    <t>aarush61@hotmail.com</t>
  </si>
  <si>
    <t>EMP1320</t>
  </si>
  <si>
    <t>Hiran Cherian</t>
  </si>
  <si>
    <t>bhavin88@kibe.com</t>
  </si>
  <si>
    <t>EMP1321</t>
  </si>
  <si>
    <t>Jivin Sabharwal</t>
  </si>
  <si>
    <t>hhans@hotmail.com</t>
  </si>
  <si>
    <t>EMP1322</t>
  </si>
  <si>
    <t>Khushi Setty</t>
  </si>
  <si>
    <t>virkyakshit@dhillon.org</t>
  </si>
  <si>
    <t>EMP1323</t>
  </si>
  <si>
    <t>Rania Sethi</t>
  </si>
  <si>
    <t>ramaswamyadira@gmail.com</t>
  </si>
  <si>
    <t>EMP1324</t>
  </si>
  <si>
    <t>Arnav Khare</t>
  </si>
  <si>
    <t>devikavyagara@gmail.com</t>
  </si>
  <si>
    <t>EMP1325</t>
  </si>
  <si>
    <t>Samaira Rege</t>
  </si>
  <si>
    <t>sbansal@thakkar.com</t>
  </si>
  <si>
    <t>EMP1326</t>
  </si>
  <si>
    <t>Ojas Wadhwa</t>
  </si>
  <si>
    <t>yrandhawa@hotmail.com</t>
  </si>
  <si>
    <t>EMP1327</t>
  </si>
  <si>
    <t>Onkar Chopra</t>
  </si>
  <si>
    <t>bhargavalagan@gmail.com</t>
  </si>
  <si>
    <t>EMP1328</t>
  </si>
  <si>
    <t>Misha Venkataraman</t>
  </si>
  <si>
    <t>yasminramachandran@gmail.com</t>
  </si>
  <si>
    <t>EMP1329</t>
  </si>
  <si>
    <t>Hrishita Barad</t>
  </si>
  <si>
    <t>onkarbir@hotmail.com</t>
  </si>
  <si>
    <t>EMP1330</t>
  </si>
  <si>
    <t>Mishti Deol</t>
  </si>
  <si>
    <t>hsani@gmail.com</t>
  </si>
  <si>
    <t>EMP1331</t>
  </si>
  <si>
    <t>Mamooty Chaudry</t>
  </si>
  <si>
    <t>ehsaande@choudhary.com</t>
  </si>
  <si>
    <t>EMP1332</t>
  </si>
  <si>
    <t>Tiya Choudhary</t>
  </si>
  <si>
    <t>divyansh67@hotmail.com</t>
  </si>
  <si>
    <t>EMP1333</t>
  </si>
  <si>
    <t>Aaryahi Dora</t>
  </si>
  <si>
    <t>msankar@chaudhari.net</t>
  </si>
  <si>
    <t>EMP1334</t>
  </si>
  <si>
    <t>Emir Reddy</t>
  </si>
  <si>
    <t>chirag85@yahoo.com</t>
  </si>
  <si>
    <t>EMP1335</t>
  </si>
  <si>
    <t>Rania Upadhyay</t>
  </si>
  <si>
    <t>rayumang@subramaniam-sen.net</t>
  </si>
  <si>
    <t>EMP1336</t>
  </si>
  <si>
    <t>Navya Sekhon</t>
  </si>
  <si>
    <t>fvarty@yahoo.com</t>
  </si>
  <si>
    <t>EMP1337</t>
  </si>
  <si>
    <t>Vanya Zacharia</t>
  </si>
  <si>
    <t>jkota@gopal.com</t>
  </si>
  <si>
    <t>EMP1338</t>
  </si>
  <si>
    <t>Ojas Kibe</t>
  </si>
  <si>
    <t>tarinichoudhury@yahoo.com</t>
  </si>
  <si>
    <t>EMP1339</t>
  </si>
  <si>
    <t>Seher Bedi</t>
  </si>
  <si>
    <t>butaladivyansh@randhawa.com</t>
  </si>
  <si>
    <t>EMP1340</t>
  </si>
  <si>
    <t>Drishya Sama</t>
  </si>
  <si>
    <t>adira16@hotmail.com</t>
  </si>
  <si>
    <t>EMP1341</t>
  </si>
  <si>
    <t>Renee Sarin</t>
  </si>
  <si>
    <t>karpenirvaan@hotmail.com</t>
  </si>
  <si>
    <t>EMP1342</t>
  </si>
  <si>
    <t>Krish Basu</t>
  </si>
  <si>
    <t>ochoudhury@yahoo.com</t>
  </si>
  <si>
    <t>EMP1343</t>
  </si>
  <si>
    <t>Jivika Ravel</t>
  </si>
  <si>
    <t>fyogi@vora-kaur.com</t>
  </si>
  <si>
    <t>EMP1344</t>
  </si>
  <si>
    <t>Tejas Varma</t>
  </si>
  <si>
    <t>rohanlall@agarwal.biz</t>
  </si>
  <si>
    <t>EMP1345</t>
  </si>
  <si>
    <t>Renee Keer</t>
  </si>
  <si>
    <t>kannankrish@krishnamurthy.org</t>
  </si>
  <si>
    <t>EMP1346</t>
  </si>
  <si>
    <t>Rati Mahal</t>
  </si>
  <si>
    <t>krishnanlakshay@gmail.com</t>
  </si>
  <si>
    <t>EMP1347</t>
  </si>
  <si>
    <t>Anya Baral</t>
  </si>
  <si>
    <t>rohan00@sha.biz</t>
  </si>
  <si>
    <t>EMP1348</t>
  </si>
  <si>
    <t>Inaaya  Cherian</t>
  </si>
  <si>
    <t>rdoshi@yahoo.com</t>
  </si>
  <si>
    <t>EMP1349</t>
  </si>
  <si>
    <t>Drishya Thaker</t>
  </si>
  <si>
    <t>EMP1350</t>
  </si>
  <si>
    <t>Prisha Krishnan</t>
  </si>
  <si>
    <t>bijuchandran@yahoo.com</t>
  </si>
  <si>
    <t>EMP1351</t>
  </si>
  <si>
    <t>Anay Lata</t>
  </si>
  <si>
    <t>gopaldiyatoor@gmail.com</t>
  </si>
  <si>
    <t>EMP1352</t>
  </si>
  <si>
    <t>Abram Sachar</t>
  </si>
  <si>
    <t>fmanda@hotmail.com</t>
  </si>
  <si>
    <t>EMP1353</t>
  </si>
  <si>
    <t>Ivana Aggarwal</t>
  </si>
  <si>
    <t>rheamadan@andra.com</t>
  </si>
  <si>
    <t>EMP1354</t>
  </si>
  <si>
    <t>Anay Keer</t>
  </si>
  <si>
    <t>brarnakul@arora.com</t>
  </si>
  <si>
    <t>EMP1355</t>
  </si>
  <si>
    <t>Samiha Yohannan</t>
  </si>
  <si>
    <t>mravel@yahoo.com</t>
  </si>
  <si>
    <t>EMP1356</t>
  </si>
  <si>
    <t>Baiju Dhar</t>
  </si>
  <si>
    <t>EMP1357</t>
  </si>
  <si>
    <t>Shamik Dash</t>
  </si>
  <si>
    <t>EMP1358</t>
  </si>
  <si>
    <t>Anvi Saran</t>
  </si>
  <si>
    <t>bwarrior@sarin-rao.com</t>
  </si>
  <si>
    <t>EMP1359</t>
  </si>
  <si>
    <t>Aradhya Rana</t>
  </si>
  <si>
    <t>kismat48walia.biz</t>
  </si>
  <si>
    <t>EMP1360</t>
  </si>
  <si>
    <t>Azad Deep</t>
  </si>
  <si>
    <t>rayinaaya@kulkarni.com</t>
  </si>
  <si>
    <t>EMP1361</t>
  </si>
  <si>
    <t>Jayesh Brar</t>
  </si>
  <si>
    <t>veer57@gmail.com</t>
  </si>
  <si>
    <t>EMP1362</t>
  </si>
  <si>
    <t>Hazel Dhar</t>
  </si>
  <si>
    <t>guptazeeshan@hotmail.com</t>
  </si>
  <si>
    <t>EMP1363</t>
  </si>
  <si>
    <t>Damini Dhawan</t>
  </si>
  <si>
    <t>ytandon@bhakta.org</t>
  </si>
  <si>
    <t>EMP1364</t>
  </si>
  <si>
    <t>Nehmat Ghosh</t>
  </si>
  <si>
    <t>alisha60@hotmail.com</t>
  </si>
  <si>
    <t>EMP1365</t>
  </si>
  <si>
    <t>Ehsaan Rege</t>
  </si>
  <si>
    <t>EMP1366</t>
  </si>
  <si>
    <t>Veer Bahl</t>
  </si>
  <si>
    <t>romil50@gmail.com</t>
  </si>
  <si>
    <t>EMP1367</t>
  </si>
  <si>
    <t>Neysa Rau</t>
  </si>
  <si>
    <t>ivan05@dey-shenoy.com</t>
  </si>
  <si>
    <t>EMP1368</t>
  </si>
  <si>
    <t>Azad Lata</t>
  </si>
  <si>
    <t>jayaramanakarsh@keer-dayal.com</t>
  </si>
  <si>
    <t>EMP1369</t>
  </si>
  <si>
    <t>Devansh Banerjee</t>
  </si>
  <si>
    <t>vivaandewan@som.com</t>
  </si>
  <si>
    <t>EMP1370</t>
  </si>
  <si>
    <t>Prisha Karnik</t>
  </si>
  <si>
    <t>nsharma@chowdhury.com</t>
  </si>
  <si>
    <t>EMP1371</t>
  </si>
  <si>
    <t>Purab Butala</t>
  </si>
  <si>
    <t>shray91@yahoo.com</t>
  </si>
  <si>
    <t>EMP1372</t>
  </si>
  <si>
    <t>Siya Trivedi</t>
  </si>
  <si>
    <t>sarafishaan@gmail.com</t>
  </si>
  <si>
    <t>EMP1373</t>
  </si>
  <si>
    <t>Pari Babu</t>
  </si>
  <si>
    <t>toorahana@gmail.com</t>
  </si>
  <si>
    <t>EMP1374</t>
  </si>
  <si>
    <t>Dhanush Shenoy</t>
  </si>
  <si>
    <t>kadeindranilyahoo@gmail.com</t>
  </si>
  <si>
    <t>EMP1375</t>
  </si>
  <si>
    <t>Uthkarsh Dhar</t>
  </si>
  <si>
    <t>anaydivan@krish.com</t>
  </si>
  <si>
    <t>EMP1376</t>
  </si>
  <si>
    <t>Vivaan Anne</t>
  </si>
  <si>
    <t>choudharyamira@din.com</t>
  </si>
  <si>
    <t>EMP1377</t>
  </si>
  <si>
    <t>Lavanya Bhasin</t>
  </si>
  <si>
    <t>bumbivana@sabharwal.com</t>
  </si>
  <si>
    <t>EMP1378</t>
  </si>
  <si>
    <t>Amira Ahuja</t>
  </si>
  <si>
    <t>pbora@bhasin.info</t>
  </si>
  <si>
    <t>EMP1379</t>
  </si>
  <si>
    <t>Nishith Gade</t>
  </si>
  <si>
    <t>ritvik75@balakrishnan.com</t>
  </si>
  <si>
    <t>EMP1380</t>
  </si>
  <si>
    <t>Dharmajan Koshy</t>
  </si>
  <si>
    <t>diya48@sehgal-kade.com</t>
  </si>
  <si>
    <t>EMP1381</t>
  </si>
  <si>
    <t>Miraya Ghosh</t>
  </si>
  <si>
    <t>santshamik@hotmail.com</t>
  </si>
  <si>
    <t>EMP1382</t>
  </si>
  <si>
    <t>Anahita Tara</t>
  </si>
  <si>
    <t>aarav01@aurora.com</t>
  </si>
  <si>
    <t>EMP1383</t>
  </si>
  <si>
    <t>Dhanush Maharaj</t>
  </si>
  <si>
    <t>ohegdemallick.info</t>
  </si>
  <si>
    <t>EMP1384</t>
  </si>
  <si>
    <t>Hridaan Lall</t>
  </si>
  <si>
    <t>prisha40@gmail.com</t>
  </si>
  <si>
    <t>EMP1385</t>
  </si>
  <si>
    <t>Shaan Sankar</t>
  </si>
  <si>
    <t>jivika96@sani.com</t>
  </si>
  <si>
    <t>EMP1386</t>
  </si>
  <si>
    <t>Pranay Ramakrishnan</t>
  </si>
  <si>
    <t>divit51@hotmail.com</t>
  </si>
  <si>
    <t>EMP1387</t>
  </si>
  <si>
    <t>Hansh Bora</t>
  </si>
  <si>
    <t>EMP1388</t>
  </si>
  <si>
    <t>Zaina Bhasin</t>
  </si>
  <si>
    <t>vaidyahunar@bassi.com</t>
  </si>
  <si>
    <t>EMP1389</t>
  </si>
  <si>
    <t>Romil Khurana</t>
  </si>
  <si>
    <t>wdyal@sekhon.com</t>
  </si>
  <si>
    <t>EMP1390</t>
  </si>
  <si>
    <t>Kiara Kannan</t>
  </si>
  <si>
    <t>borahanaya@bala.com</t>
  </si>
  <si>
    <t>EMP1391</t>
  </si>
  <si>
    <t>Amani Lanka</t>
  </si>
  <si>
    <t>xdasgupta@hotmail.com</t>
  </si>
  <si>
    <t>EMP1392</t>
  </si>
  <si>
    <t>Farhan Borde</t>
  </si>
  <si>
    <t>tkeer@khurana.com</t>
  </si>
  <si>
    <t>EMP1393</t>
  </si>
  <si>
    <t>Biju Dube</t>
  </si>
  <si>
    <t>shaan09gade.info</t>
  </si>
  <si>
    <t>EMP1394</t>
  </si>
  <si>
    <t>Jiya Sant</t>
  </si>
  <si>
    <t>zdesai@hotmail.com</t>
  </si>
  <si>
    <t>EMP1395</t>
  </si>
  <si>
    <t>Vardaniya Wali</t>
  </si>
  <si>
    <t>schoudhary@shankar.com</t>
  </si>
  <si>
    <t>EMP1396</t>
  </si>
  <si>
    <t>Hridaan Sachar</t>
  </si>
  <si>
    <t>dhruv38@hotmail.com</t>
  </si>
  <si>
    <t>EMP1397</t>
  </si>
  <si>
    <t>Miraya Chahal</t>
  </si>
  <si>
    <t>tellaarnav@gmail.com</t>
  </si>
  <si>
    <t>EMP1398</t>
  </si>
  <si>
    <t>Yasmin Kohli</t>
  </si>
  <si>
    <t>jiya96@gmail.com</t>
  </si>
  <si>
    <t>EMP1399</t>
  </si>
  <si>
    <t>Devansh Ramanathan</t>
  </si>
  <si>
    <t>akashyapwarrior.biz</t>
  </si>
  <si>
    <t>EMP1400</t>
  </si>
  <si>
    <t>Bhavin Dayal</t>
  </si>
  <si>
    <t>mannenavya@sehgal.com</t>
  </si>
  <si>
    <t>EMP1401</t>
  </si>
  <si>
    <t>Taimur Mall</t>
  </si>
  <si>
    <t>aainasehgal@doctor.com</t>
  </si>
  <si>
    <t>EMP1402</t>
  </si>
  <si>
    <t>Uthkarsh Bhakta</t>
  </si>
  <si>
    <t>romilissac@sarma-kant.com</t>
  </si>
  <si>
    <t>EMP1403</t>
  </si>
  <si>
    <t>Kabir Sangha</t>
  </si>
  <si>
    <t>manikyabasu@yahoo.com</t>
  </si>
  <si>
    <t>EMP1404</t>
  </si>
  <si>
    <t>Seher Soman</t>
  </si>
  <si>
    <t>kjoshi@yahoo.com</t>
  </si>
  <si>
    <t>EMP1405</t>
  </si>
  <si>
    <t>Shalv Ranganathan</t>
  </si>
  <si>
    <t>basuanika@hayre.info</t>
  </si>
  <si>
    <t>EMP1406</t>
  </si>
  <si>
    <t>Mahika Varghese</t>
  </si>
  <si>
    <t>mannat74@gmail.com</t>
  </si>
  <si>
    <t>EMP1407</t>
  </si>
  <si>
    <t>Samaira Baral</t>
  </si>
  <si>
    <t>edash@batta-chana.com</t>
  </si>
  <si>
    <t>EMP1408</t>
  </si>
  <si>
    <t>Renee Doctor</t>
  </si>
  <si>
    <t>lguha@hotmail.com</t>
  </si>
  <si>
    <t>EMP1409</t>
  </si>
  <si>
    <t>Mannat Kurian</t>
  </si>
  <si>
    <t>mkhatri@hotmail.com</t>
  </si>
  <si>
    <t>EMP1410</t>
  </si>
  <si>
    <t>Ivana Sane</t>
  </si>
  <si>
    <t>pranaybiswas@hotmail.com</t>
  </si>
  <si>
    <t>EMP1411</t>
  </si>
  <si>
    <t>Jivika Dass</t>
  </si>
  <si>
    <t>ukothari@singhal-chakrabarti.biz</t>
  </si>
  <si>
    <t>EMP1412</t>
  </si>
  <si>
    <t>Lakshay Loyal</t>
  </si>
  <si>
    <t>sarnazaina@deshpande.com</t>
  </si>
  <si>
    <t>EMP1413</t>
  </si>
  <si>
    <t>Lakshit Baral</t>
  </si>
  <si>
    <t>khushi09@gmail.com</t>
  </si>
  <si>
    <t>EMP1414</t>
  </si>
  <si>
    <t>Shray Char</t>
  </si>
  <si>
    <t>bhaminisha@hotmail.com</t>
  </si>
  <si>
    <t>EMP1415</t>
  </si>
  <si>
    <t>Tiya Tak</t>
  </si>
  <si>
    <t>pgrewalkorpal@gmail.com</t>
  </si>
  <si>
    <t>EMP1416</t>
  </si>
  <si>
    <t>Ritvik Karan</t>
  </si>
  <si>
    <t>suhanaviswanathan@reddy-cheema.com</t>
  </si>
  <si>
    <t>EMP1417</t>
  </si>
  <si>
    <t>Ahana  Sama</t>
  </si>
  <si>
    <t>comardarshit@vala-goswami.com</t>
  </si>
  <si>
    <t>EMP1418</t>
  </si>
  <si>
    <t>Ojas Jayaraman</t>
  </si>
  <si>
    <t>shamiksawhney@yahoo.com</t>
  </si>
  <si>
    <t>EMP1419</t>
  </si>
  <si>
    <t>Yakshit Kulkarni</t>
  </si>
  <si>
    <t>EMP1420</t>
  </si>
  <si>
    <t>Farhan Amble</t>
  </si>
  <si>
    <t>sahilranganathan@mander.info</t>
  </si>
  <si>
    <t>EMP1421</t>
  </si>
  <si>
    <t>Faiyaz Babu</t>
  </si>
  <si>
    <t>rcheema@sathe-chandra.com</t>
  </si>
  <si>
    <t>EMP1422</t>
  </si>
  <si>
    <t>Aradhya Deo</t>
  </si>
  <si>
    <t>heerlalla@hotmail.com</t>
  </si>
  <si>
    <t>EMP1423</t>
  </si>
  <si>
    <t>Ritvik Upadhyay</t>
  </si>
  <si>
    <t>issacyuvraj@gmail.com</t>
  </si>
  <si>
    <t>EMP1424</t>
  </si>
  <si>
    <t>Kismat Majumdar</t>
  </si>
  <si>
    <t>mishabhatnagar@gmail.com</t>
  </si>
  <si>
    <t>EMP1425</t>
  </si>
  <si>
    <t>Shanaya Saini</t>
  </si>
  <si>
    <t>dasvardaniya@babu.com</t>
  </si>
  <si>
    <t>EMP1426</t>
  </si>
  <si>
    <t>Nehmat Sani</t>
  </si>
  <si>
    <t>gatiktrivedihotmail@gmail.com</t>
  </si>
  <si>
    <t>EMP1427</t>
  </si>
  <si>
    <t>Elakshi Sule</t>
  </si>
  <si>
    <t>kumerkanav@deshpande-suri.com</t>
  </si>
  <si>
    <t>EMP1428</t>
  </si>
  <si>
    <t>Ishita Sachdeva</t>
  </si>
  <si>
    <t>kaira80@gmail.com</t>
  </si>
  <si>
    <t>EMP1429</t>
  </si>
  <si>
    <t>Amani Krish</t>
  </si>
  <si>
    <t>badalgrover@gmail.com</t>
  </si>
  <si>
    <t>EMP1430</t>
  </si>
  <si>
    <t>Rati Vaidya</t>
  </si>
  <si>
    <t>aarnabiswas@gulati-bajaj.com</t>
  </si>
  <si>
    <t>EMP1431</t>
  </si>
  <si>
    <t>Indranil Deo</t>
  </si>
  <si>
    <t>rvarughese@brar.com</t>
  </si>
  <si>
    <t>EMP1432</t>
  </si>
  <si>
    <t>Heer Dara</t>
  </si>
  <si>
    <t>ritvik96@tara-bhavsar.com</t>
  </si>
  <si>
    <t>EMP1433</t>
  </si>
  <si>
    <t>Dhanuk Bala</t>
  </si>
  <si>
    <t>jainkhushi@sen.com</t>
  </si>
  <si>
    <t>EMP1434</t>
  </si>
  <si>
    <t>Anvi Khatri</t>
  </si>
  <si>
    <t>shettyabram@gmail.com</t>
  </si>
  <si>
    <t>EMP1435</t>
  </si>
  <si>
    <t>Shray Kibe</t>
  </si>
  <si>
    <t>pgandhi@vasa.com</t>
  </si>
  <si>
    <t>EMP1436</t>
  </si>
  <si>
    <t>Suhana Viswanathan</t>
  </si>
  <si>
    <t>pyadavsethi-khurana@gmail.com</t>
  </si>
  <si>
    <t>EMP1437</t>
  </si>
  <si>
    <t>Kimaya Balan</t>
  </si>
  <si>
    <t>shadhruv@gmail.com</t>
  </si>
  <si>
    <t>EMP1438</t>
  </si>
  <si>
    <t>Misha Choudhary</t>
  </si>
  <si>
    <t>yrau@yahoo.com</t>
  </si>
  <si>
    <t>EMP1439</t>
  </si>
  <si>
    <t>Aarav Manne</t>
  </si>
  <si>
    <t>siyamand@hotmail.com</t>
  </si>
  <si>
    <t>EMP1440</t>
  </si>
  <si>
    <t>Devansh Gupta</t>
  </si>
  <si>
    <t>mannatgoyal@yahoo.com</t>
  </si>
  <si>
    <t>EMP1441</t>
  </si>
  <si>
    <t>Kiaan Sarma</t>
  </si>
  <si>
    <t>swamykabir@jain.org</t>
  </si>
  <si>
    <t>EMP1442</t>
  </si>
  <si>
    <t>Tushar Borde</t>
  </si>
  <si>
    <t>shayak90@gmail.com</t>
  </si>
  <si>
    <t>EMP1443</t>
  </si>
  <si>
    <t>Amani Bassi</t>
  </si>
  <si>
    <t>raunak54iyengar@gmail.com</t>
  </si>
  <si>
    <t>EMP1444</t>
  </si>
  <si>
    <t>Rania Atwal</t>
  </si>
  <si>
    <t>divitmadan@buch.com</t>
  </si>
  <si>
    <t>EMP1445</t>
  </si>
  <si>
    <t>Nayantara Lata</t>
  </si>
  <si>
    <t>sahil30@yahoo.com</t>
  </si>
  <si>
    <t>EMP1446</t>
  </si>
  <si>
    <t>Akarsh Bhatt</t>
  </si>
  <si>
    <t>larya@hotmail.com</t>
  </si>
  <si>
    <t>EMP1447</t>
  </si>
  <si>
    <t>Anya Sharaf</t>
  </si>
  <si>
    <t>ksankaran@iyer-yohannan.com</t>
  </si>
  <si>
    <t>EMP1448</t>
  </si>
  <si>
    <t>Vaibhav Dixit</t>
  </si>
  <si>
    <t>kiaankalita@sant.com</t>
  </si>
  <si>
    <t>EMP1449</t>
  </si>
  <si>
    <t>Dishani Dugar</t>
  </si>
  <si>
    <t>lakshit82@yahoo.com</t>
  </si>
  <si>
    <t>EMP1450</t>
  </si>
  <si>
    <t>Ishita Halder</t>
  </si>
  <si>
    <t>jayangaba@dora.info</t>
  </si>
  <si>
    <t>EMP1451</t>
  </si>
  <si>
    <t>Indrajit Gour</t>
  </si>
  <si>
    <t>navya27@din.net</t>
  </si>
  <si>
    <t>EMP1452</t>
  </si>
  <si>
    <t>Nishith Kala</t>
  </si>
  <si>
    <t>kgera@gmail.com</t>
  </si>
  <si>
    <t>EMP1453</t>
  </si>
  <si>
    <t>Umang Gopal</t>
  </si>
  <si>
    <t>hazel59@kaur.com</t>
  </si>
  <si>
    <t>EMP1454</t>
  </si>
  <si>
    <t>Vritika Randhawa</t>
  </si>
  <si>
    <t>ubadami@yahoo.com</t>
  </si>
  <si>
    <t>EMP1455</t>
  </si>
  <si>
    <t>Aniruddh Ram</t>
  </si>
  <si>
    <t>qbanerjeeyahoo@gmail.com</t>
  </si>
  <si>
    <t>EMP1456</t>
  </si>
  <si>
    <t>Farhan Sidhu</t>
  </si>
  <si>
    <t>baijuraval@arya.net</t>
  </si>
  <si>
    <t>EMP1457</t>
  </si>
  <si>
    <t>Jivin Setty</t>
  </si>
  <si>
    <t>suleumang@sastry.com</t>
  </si>
  <si>
    <t>EMP1458</t>
  </si>
  <si>
    <t>Aarav Shukla</t>
  </si>
  <si>
    <t>hiran77@hotmail.com</t>
  </si>
  <si>
    <t>EMP1459</t>
  </si>
  <si>
    <t>Tiya Bal</t>
  </si>
  <si>
    <t>kanavchaudhrycheema-bala.biz</t>
  </si>
  <si>
    <t>EMP1460</t>
  </si>
  <si>
    <t>Biju Madan</t>
  </si>
  <si>
    <t>EMP1461</t>
  </si>
  <si>
    <t>Divit Mann</t>
  </si>
  <si>
    <t>EMP1462</t>
  </si>
  <si>
    <t>Zoya Raval</t>
  </si>
  <si>
    <t>andravanya@gmail.com</t>
  </si>
  <si>
    <t>EMP1463</t>
  </si>
  <si>
    <t>Kiara Chadha</t>
  </si>
  <si>
    <t>bedimadhup@bhatia.com</t>
  </si>
  <si>
    <t>EMP1464</t>
  </si>
  <si>
    <t>Jiya Krishna</t>
  </si>
  <si>
    <t>jiyaborde@gmail.com</t>
  </si>
  <si>
    <t>EMP1465</t>
  </si>
  <si>
    <t>Aaina Kalla</t>
  </si>
  <si>
    <t>qkalita@hotmail.com</t>
  </si>
  <si>
    <t>EMP1466</t>
  </si>
  <si>
    <t>Vidur Chadha</t>
  </si>
  <si>
    <t>yakshitmajumdarbaria-aggarwal@gmail.com</t>
  </si>
  <si>
    <t>EMP1467</t>
  </si>
  <si>
    <t>Lakshit Bhatt</t>
  </si>
  <si>
    <t>lakshit75@bhalla.com</t>
  </si>
  <si>
    <t>EMP1468</t>
  </si>
  <si>
    <t>Anay Khare</t>
  </si>
  <si>
    <t>navya01@balasubramanian.biz</t>
  </si>
  <si>
    <t>EMP1469</t>
  </si>
  <si>
    <t>Vardaniya Choudhury</t>
  </si>
  <si>
    <t>dhanukrajan@dara.com</t>
  </si>
  <si>
    <t>EMP1470</t>
  </si>
  <si>
    <t>Shlok Chaudry</t>
  </si>
  <si>
    <t>dhanukvenkateshdugar@gmail.com</t>
  </si>
  <si>
    <t>EMP1471</t>
  </si>
  <si>
    <t>Rasha Venkatesh</t>
  </si>
  <si>
    <t>dhruv17@sheth.com</t>
  </si>
  <si>
    <t>EMP1472</t>
  </si>
  <si>
    <t>Neysa Bail</t>
  </si>
  <si>
    <t>jayeshchanda@dugar.info</t>
  </si>
  <si>
    <t>EMP1473</t>
  </si>
  <si>
    <t>Nirvi Doshi</t>
  </si>
  <si>
    <t>ksamra@yahoo.com</t>
  </si>
  <si>
    <t>EMP1474</t>
  </si>
  <si>
    <t>Lakshay Chandran</t>
  </si>
  <si>
    <t>agarwalvidur@dora-trivedi.info</t>
  </si>
  <si>
    <t>EMP1475</t>
  </si>
  <si>
    <t>Faiyaz Bhandari</t>
  </si>
  <si>
    <t>dedishani@rastogi-chaudhry.com</t>
  </si>
  <si>
    <t>EMP1476</t>
  </si>
  <si>
    <t>Zara Chada</t>
  </si>
  <si>
    <t>mupadhyay@hotmail.com</t>
  </si>
  <si>
    <t>EMP1477</t>
  </si>
  <si>
    <t>Rati Tank</t>
  </si>
  <si>
    <t>chandraonkar@hotmail.com</t>
  </si>
  <si>
    <t>EMP1478</t>
  </si>
  <si>
    <t>Kavya Kadakia</t>
  </si>
  <si>
    <t>jborah@yahoo.com</t>
  </si>
  <si>
    <t>EMP1479</t>
  </si>
  <si>
    <t>Sana Datta</t>
  </si>
  <si>
    <t>samairaramesh@salvi.net</t>
  </si>
  <si>
    <t>EMP1480</t>
  </si>
  <si>
    <t>Shalv Khatri</t>
  </si>
  <si>
    <t>bbadal@gmail.com</t>
  </si>
  <si>
    <t>EMP1481</t>
  </si>
  <si>
    <t>Vritika Sha</t>
  </si>
  <si>
    <t>samiharajagopalan@hotmail.com</t>
  </si>
  <si>
    <t>EMP1482</t>
  </si>
  <si>
    <t>Mannat Sabharwal</t>
  </si>
  <si>
    <t>ogupta@tandon.com</t>
  </si>
  <si>
    <t>EMP1483</t>
  </si>
  <si>
    <t>Kimaya Soman</t>
  </si>
  <si>
    <t>siya54@hotmail.com</t>
  </si>
  <si>
    <t>EMP1484</t>
  </si>
  <si>
    <t>Arhaan Sengupta</t>
  </si>
  <si>
    <t>EMP1485</t>
  </si>
  <si>
    <t>Samaira Babu</t>
  </si>
  <si>
    <t>samairaissac@chokshi.org</t>
  </si>
  <si>
    <t>EMP1486</t>
  </si>
  <si>
    <t>Samarth Sengupta</t>
  </si>
  <si>
    <t>badalkrishnan@gill-chacko.com</t>
  </si>
  <si>
    <t>Phone_clean</t>
  </si>
  <si>
    <t>Row Labels</t>
  </si>
  <si>
    <t>Grand Total</t>
  </si>
  <si>
    <t>Count of emp_id</t>
  </si>
  <si>
    <t>Sum of salary</t>
  </si>
  <si>
    <t>Sum of performance_score</t>
  </si>
  <si>
    <t>18-32</t>
  </si>
  <si>
    <t>33-47</t>
  </si>
  <si>
    <t>48-62</t>
  </si>
  <si>
    <t>63-77</t>
  </si>
  <si>
    <t>78-92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</si>
</sst>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2" formatCode="_ &quot;₹&quot;\ * #,##0_ ;_ &quot;₹&quot;\ * \-#,##0_ ;_ &quot;₹&quot;\ * &quot;-&quot;_ ;_ @_ "/>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applyAlignment="1">
      <alignment horizontal="right"/>
    </xf>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42"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4" formatCode="0.00%"/>
    </dxf>
    <dxf>
      <numFmt numFmtId="14" formatCode="0.00%"/>
    </dxf>
    <dxf>
      <numFmt numFmtId="0" formatCode="General"/>
      <alignment horizontal="right" vertical="bottom" textRotation="0" wrapText="0" indent="0" justifyLastLine="0" shrinkToFit="0" readingOrder="0"/>
    </dxf>
    <dxf>
      <numFmt numFmtId="19" formatCode="dd/mm/yyyy"/>
    </dxf>
    <dxf>
      <font>
        <b/>
        <i val="0"/>
        <sz val="10"/>
      </font>
      <border diagonalUp="0" diagonalDown="0">
        <left/>
        <right/>
        <top/>
        <bottom/>
        <vertical/>
        <horizontal/>
      </border>
    </dxf>
    <dxf>
      <fill>
        <patternFill>
          <bgColor rgb="FF0070C0"/>
        </patternFill>
      </fill>
    </dxf>
    <dxf>
      <fill>
        <patternFill>
          <bgColor rgb="FF002060"/>
        </patternFill>
      </fill>
    </dxf>
    <dxf>
      <font>
        <b/>
        <i val="0"/>
        <sz val="10"/>
      </font>
      <border diagonalUp="0" diagonalDown="0">
        <left/>
        <right/>
        <top/>
        <bottom/>
        <vertical/>
        <horizontal/>
      </border>
    </dxf>
  </dxfs>
  <tableStyles count="4" defaultTableStyle="TableStyleMedium2" defaultPivotStyle="PivotStyleLight16">
    <tableStyle name="Slicer Style 1" pivot="0" table="0" count="1" xr9:uid="{9B3EE502-3B6A-4E0B-804A-29ABF73247D0}">
      <tableStyleElement type="wholeTable" dxfId="7"/>
    </tableStyle>
    <tableStyle name="Slicer Style 2" pivot="0" table="0" count="1" xr9:uid="{DDB4EFA1-9ED5-4C0C-922B-198B8F64E2C6}">
      <tableStyleElement type="wholeTable" dxfId="6"/>
    </tableStyle>
    <tableStyle name="Slicer Style 3" pivot="0" table="0" count="1" xr9:uid="{351D5753-03D4-47DC-A9E8-B9B4608FD04A}">
      <tableStyleElement type="wholeTable" dxfId="5"/>
    </tableStyle>
    <tableStyle name="Slicer Style 4" pivot="0" table="0" count="1" xr9:uid="{35881024-C950-4395-B8E6-B77EDC1497AF}">
      <tableStyleElement type="wholeTable" dxfId="4"/>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 Id="rId4"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 Id="rId4"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 Id="rId4" Type="http://schemas.openxmlformats.org/officeDocument/2006/relationships/chartUserShapes" Target="../drawings/drawing6.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7.xml"/><Relationship Id="rId1" Type="http://schemas.microsoft.com/office/2011/relationships/chartStyle" Target="style7.xml"/><Relationship Id="rId4" Type="http://schemas.openxmlformats.org/officeDocument/2006/relationships/chartUserShapes" Target="../drawings/drawing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8.xml"/><Relationship Id="rId1" Type="http://schemas.microsoft.com/office/2011/relationships/chartStyle" Target="style8.xml"/><Relationship Id="rId4" Type="http://schemas.openxmlformats.org/officeDocument/2006/relationships/chartUserShapes" Target="../drawings/drawing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[clean_chat_gpt_messy_employee_dataset.xlsx]Pivot_Table!PivotTable3</c:name>
    <c:fmtId val="6"/>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b="1"/>
              <a:t>Department wise Salary</a:t>
            </a:r>
          </a:p>
        </c:rich>
      </c:tx>
      <c:layout>
        <c:manualLayout>
          <c:xMode val="edge"/>
          <c:yMode val="edge"/>
          <c:x val="0.24604339209536741"/>
          <c:y val="3.6963596941686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713422927074299E-2"/>
          <c:y val="0.21501449275362322"/>
          <c:w val="0.91758941062270727"/>
          <c:h val="0.65096656396211339"/>
        </c:manualLayout>
      </c:layout>
      <c:barChart>
        <c:barDir val="col"/>
        <c:grouping val="clustered"/>
        <c:varyColors val="0"/>
        <c:ser>
          <c:idx val="0"/>
          <c:order val="0"/>
          <c:tx>
            <c:strRef>
              <c:f>Pivot_Table!$B$11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Pivot_Table!$A$12:$A$17</c:f>
              <c:strCache>
                <c:ptCount val="5"/>
                <c:pt idx="0">
                  <c:v>Finance</c:v>
                </c:pt>
                <c:pt idx="1">
                  <c:v>HR</c:v>
                </c:pt>
                <c:pt idx="2">
                  <c:v>IT</c:v>
                </c:pt>
                <c:pt idx="3">
                  <c:v>Marketing</c:v>
                </c:pt>
                <c:pt idx="4">
                  <c:v>Sales</c:v>
                </c:pt>
              </c:strCache>
            </c:strRef>
          </c:cat>
          <c:val>
            <c:numRef>
              <c:f>Pivot_Table!$B$12:$B$17</c:f>
              <c:numCache>
                <c:formatCode>_("₹"* #,##0_);_("₹"* \(#,##0\);_("₹"* "-"_);_(@_)</c:formatCode>
                <c:ptCount val="5"/>
                <c:pt idx="0">
                  <c:v>8275881</c:v>
                </c:pt>
                <c:pt idx="1">
                  <c:v>9350644</c:v>
                </c:pt>
                <c:pt idx="2">
                  <c:v>17134443</c:v>
                </c:pt>
                <c:pt idx="3">
                  <c:v>8420984</c:v>
                </c:pt>
                <c:pt idx="4">
                  <c:v>26890633</c:v>
                </c:pt>
              </c:numCache>
            </c:numRef>
          </c:val>
          <c:extLst>
            <c:ext xmlns:c16="http://schemas.microsoft.com/office/drawing/2014/chart" uri="{C3380CC4-5D6E-409C-BE32-E72D297353CC}">
              <c16:uniqueId val="{00000000-8344-4DCB-A377-0C82EB12AF63}"/>
            </c:ext>
          </c:extLst>
        </c:ser>
        <c:dLbls>
          <c:dLblPos val="outEnd"/>
          <c:showLegendKey val="0"/>
          <c:showVal val="1"/>
          <c:showCatName val="0"/>
          <c:showSerName val="0"/>
          <c:showPercent val="0"/>
          <c:showBubbleSize val="0"/>
        </c:dLbls>
        <c:gapWidth val="219"/>
        <c:axId val="749491168"/>
        <c:axId val="405898656"/>
      </c:barChart>
      <c:catAx>
        <c:axId val="749491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405898656"/>
        <c:crosses val="autoZero"/>
        <c:auto val="1"/>
        <c:lblAlgn val="ctr"/>
        <c:lblOffset val="100"/>
        <c:noMultiLvlLbl val="0"/>
      </c:catAx>
      <c:valAx>
        <c:axId val="405898656"/>
        <c:scaling>
          <c:orientation val="minMax"/>
        </c:scaling>
        <c:delete val="1"/>
        <c:axPos val="l"/>
        <c:numFmt formatCode="_(&quot;₹&quot;* #,##0_);_(&quot;₹&quot;* \(#,##0\);_(&quot;₹&quot;* &quot;-&quot;_);_(@_)" sourceLinked="1"/>
        <c:majorTickMark val="out"/>
        <c:minorTickMark val="none"/>
        <c:tickLblPos val="nextTo"/>
        <c:crossAx val="749491168"/>
        <c:crosses val="autoZero"/>
        <c:crossBetween val="between"/>
      </c:valAx>
      <c:spPr>
        <a:noFill/>
        <a:ln>
          <a:noFill/>
        </a:ln>
        <a:effectLst/>
      </c:spPr>
    </c:plotArea>
    <c:plotVisOnly val="1"/>
    <c:dispBlanksAs val="gap"/>
    <c:showDLblsOverMax val="0"/>
    <c:extLst/>
  </c:chart>
  <c:spPr>
    <a:solidFill>
      <a:schemeClr val="tx2">
        <a:lumMod val="10000"/>
        <a:lumOff val="90000"/>
      </a:schemeClr>
    </a:solidFill>
    <a:ln w="19050" cap="flat" cmpd="sng" algn="ctr">
      <a:no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[clean_chat_gpt_messy_employee_dataset.xlsx]Pivot_Table!PivotTable4</c:name>
    <c:fmtId val="10"/>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Gender Distribution </a:t>
            </a:r>
          </a:p>
        </c:rich>
      </c:tx>
      <c:layout>
        <c:manualLayout>
          <c:xMode val="edge"/>
          <c:yMode val="edge"/>
          <c:x val="0.30638541950375908"/>
          <c:y val="3.841808251417612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s>
    <c:plotArea>
      <c:layout/>
      <c:pieChart>
        <c:varyColors val="1"/>
        <c:ser>
          <c:idx val="0"/>
          <c:order val="0"/>
          <c:tx>
            <c:strRef>
              <c:f>Pivot_Table!$B$20</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EC0-49DB-ABF7-9FC1433B9A96}"/>
              </c:ext>
            </c:extLst>
          </c:dPt>
          <c:dPt>
            <c:idx val="1"/>
            <c:bubble3D val="0"/>
            <c:spPr>
              <a:solidFill>
                <a:schemeClr val="accent2"/>
              </a:solidFill>
              <a:ln>
                <a:noFill/>
              </a:ln>
              <a:effectLst/>
            </c:spPr>
            <c:extLst>
              <c:ext xmlns:c16="http://schemas.microsoft.com/office/drawing/2014/chart" uri="{C3380CC4-5D6E-409C-BE32-E72D297353CC}">
                <c16:uniqueId val="{00000003-0EC0-49DB-ABF7-9FC1433B9A96}"/>
              </c:ext>
            </c:extLst>
          </c:dPt>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Pivot_Table!$A$21:$A$23</c:f>
              <c:strCache>
                <c:ptCount val="2"/>
                <c:pt idx="0">
                  <c:v>Female</c:v>
                </c:pt>
                <c:pt idx="1">
                  <c:v>Male</c:v>
                </c:pt>
              </c:strCache>
            </c:strRef>
          </c:cat>
          <c:val>
            <c:numRef>
              <c:f>Pivot_Table!$B$21:$B$23</c:f>
              <c:numCache>
                <c:formatCode>0.00%</c:formatCode>
                <c:ptCount val="2"/>
                <c:pt idx="0">
                  <c:v>0.32238193018480493</c:v>
                </c:pt>
                <c:pt idx="1">
                  <c:v>0.67761806981519512</c:v>
                </c:pt>
              </c:numCache>
            </c:numRef>
          </c:val>
          <c:extLst>
            <c:ext xmlns:c16="http://schemas.microsoft.com/office/drawing/2014/chart" uri="{C3380CC4-5D6E-409C-BE32-E72D297353CC}">
              <c16:uniqueId val="{00000000-8344-4DCB-A377-0C82EB12AF6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9830167157403555"/>
          <c:y val="0.3868335204356968"/>
          <c:w val="0.17938098775105885"/>
          <c:h val="0.216103226665174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chart>
  <c:spPr>
    <a:solidFill>
      <a:schemeClr val="tx2">
        <a:lumMod val="10000"/>
        <a:lumOff val="90000"/>
      </a:schemeClr>
    </a:solidFill>
    <a:ln w="19050" cap="flat" cmpd="sng" algn="ctr">
      <a:no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[clean_chat_gpt_messy_employee_dataset.xlsx]Pivot_Table!PivotTable5</c:name>
    <c:fmtId val="12"/>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b="1"/>
              <a:t>City wise</a:t>
            </a:r>
            <a:r>
              <a:rPr lang="en-IN" b="1" baseline="0"/>
              <a:t> Employee</a:t>
            </a:r>
            <a:endParaRPr lang="en-IN" b="1"/>
          </a:p>
        </c:rich>
      </c:tx>
      <c:layout>
        <c:manualLayout>
          <c:xMode val="edge"/>
          <c:yMode val="edge"/>
          <c:x val="0.30571368444606645"/>
          <c:y val="5.30333119869054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848407734738079E-2"/>
          <c:y val="3.142167083914265E-2"/>
          <c:w val="0.93888888888888888"/>
          <c:h val="0.81826912816134889"/>
        </c:manualLayout>
      </c:layout>
      <c:barChart>
        <c:barDir val="col"/>
        <c:grouping val="clustered"/>
        <c:varyColors val="0"/>
        <c:ser>
          <c:idx val="0"/>
          <c:order val="0"/>
          <c:tx>
            <c:strRef>
              <c:f>Pivot_Table!$F$1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Pivot_Table!$E$2:$E$7</c:f>
              <c:strCache>
                <c:ptCount val="5"/>
                <c:pt idx="0">
                  <c:v>Bangalore</c:v>
                </c:pt>
                <c:pt idx="1">
                  <c:v>Delhi</c:v>
                </c:pt>
                <c:pt idx="2">
                  <c:v>Mumbai</c:v>
                </c:pt>
                <c:pt idx="3">
                  <c:v>Chennai</c:v>
                </c:pt>
                <c:pt idx="4">
                  <c:v>Kolkata</c:v>
                </c:pt>
              </c:strCache>
            </c:strRef>
          </c:cat>
          <c:val>
            <c:numRef>
              <c:f>Pivot_Table!$F$2:$F$7</c:f>
              <c:numCache>
                <c:formatCode>General</c:formatCode>
                <c:ptCount val="5"/>
                <c:pt idx="0">
                  <c:v>56</c:v>
                </c:pt>
                <c:pt idx="1">
                  <c:v>63</c:v>
                </c:pt>
                <c:pt idx="2">
                  <c:v>65</c:v>
                </c:pt>
                <c:pt idx="3">
                  <c:v>71</c:v>
                </c:pt>
                <c:pt idx="4">
                  <c:v>232</c:v>
                </c:pt>
              </c:numCache>
            </c:numRef>
          </c:val>
          <c:extLst>
            <c:ext xmlns:c16="http://schemas.microsoft.com/office/drawing/2014/chart" uri="{C3380CC4-5D6E-409C-BE32-E72D297353CC}">
              <c16:uniqueId val="{00000000-857D-4F01-9555-741F590A38E0}"/>
            </c:ext>
          </c:extLst>
        </c:ser>
        <c:dLbls>
          <c:dLblPos val="outEnd"/>
          <c:showLegendKey val="0"/>
          <c:showVal val="1"/>
          <c:showCatName val="0"/>
          <c:showSerName val="0"/>
          <c:showPercent val="0"/>
          <c:showBubbleSize val="0"/>
        </c:dLbls>
        <c:gapWidth val="219"/>
        <c:overlap val="-27"/>
        <c:axId val="749491168"/>
        <c:axId val="405898656"/>
      </c:barChart>
      <c:catAx>
        <c:axId val="749491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405898656"/>
        <c:crosses val="autoZero"/>
        <c:auto val="1"/>
        <c:lblAlgn val="ctr"/>
        <c:lblOffset val="100"/>
        <c:noMultiLvlLbl val="0"/>
      </c:catAx>
      <c:valAx>
        <c:axId val="405898656"/>
        <c:scaling>
          <c:orientation val="minMax"/>
        </c:scaling>
        <c:delete val="1"/>
        <c:axPos val="l"/>
        <c:numFmt formatCode="General" sourceLinked="1"/>
        <c:majorTickMark val="out"/>
        <c:minorTickMark val="none"/>
        <c:tickLblPos val="nextTo"/>
        <c:crossAx val="749491168"/>
        <c:crosses val="autoZero"/>
        <c:crossBetween val="between"/>
      </c:valAx>
      <c:spPr>
        <a:noFill/>
        <a:ln>
          <a:noFill/>
        </a:ln>
        <a:effectLst/>
      </c:spPr>
    </c:plotArea>
    <c:plotVisOnly val="1"/>
    <c:dispBlanksAs val="gap"/>
    <c:showDLblsOverMax val="0"/>
    <c:extLst/>
  </c:chart>
  <c:spPr>
    <a:solidFill>
      <a:schemeClr val="tx2">
        <a:lumMod val="10000"/>
        <a:lumOff val="90000"/>
      </a:schemeClr>
    </a:solidFill>
    <a:ln w="19050" cap="flat" cmpd="sng" algn="ctr">
      <a:no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[clean_chat_gpt_messy_employee_dataset.xlsx]Pivot_Table!PivotTable6</c:name>
    <c:fmtId val="20"/>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b="1"/>
              <a:t>Department wise Gender</a:t>
            </a:r>
          </a:p>
        </c:rich>
      </c:tx>
      <c:layout>
        <c:manualLayout>
          <c:xMode val="edge"/>
          <c:yMode val="edge"/>
          <c:x val="0.30265238065400973"/>
          <c:y val="3.696368868507810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97132"/>
          </a:solidFill>
          <a:ln>
            <a:noFill/>
          </a:ln>
          <a:effectLst/>
        </c:spPr>
      </c:pivotFmt>
      <c:pivotFmt>
        <c:idx val="5"/>
        <c:spPr>
          <a:solidFill>
            <a:srgbClr val="E97132"/>
          </a:solidFill>
          <a:ln>
            <a:noFill/>
          </a:ln>
          <a:effectLst/>
        </c:spPr>
      </c:pivotFmt>
      <c:pivotFmt>
        <c:idx val="6"/>
        <c:spPr>
          <a:solidFill>
            <a:srgbClr val="E97132"/>
          </a:solidFill>
          <a:ln>
            <a:noFill/>
          </a:ln>
          <a:effectLst/>
        </c:spPr>
      </c:pivotFmt>
      <c:pivotFmt>
        <c:idx val="7"/>
        <c:spPr>
          <a:solidFill>
            <a:srgbClr val="E97132"/>
          </a:solidFill>
          <a:ln>
            <a:noFill/>
          </a:ln>
          <a:effectLst/>
        </c:spPr>
      </c:pivotFmt>
      <c:pivotFmt>
        <c:idx val="8"/>
        <c:spPr>
          <a:solidFill>
            <a:srgbClr val="E97132"/>
          </a:solidFill>
          <a:ln>
            <a:noFill/>
          </a:ln>
          <a:effectLst/>
        </c:spPr>
      </c:pivotFmt>
    </c:pivotFmts>
    <c:plotArea>
      <c:layout/>
      <c:barChart>
        <c:barDir val="col"/>
        <c:grouping val="clustered"/>
        <c:varyColors val="0"/>
        <c:ser>
          <c:idx val="0"/>
          <c:order val="0"/>
          <c:tx>
            <c:strRef>
              <c:f>Pivot_Table!$F$11</c:f>
              <c:strCache>
                <c:ptCount val="1"/>
                <c:pt idx="0">
                  <c:v>Total</c:v>
                </c:pt>
              </c:strCache>
            </c:strRef>
          </c:tx>
          <c:spPr>
            <a:solidFill>
              <a:schemeClr val="accent1"/>
            </a:solidFill>
            <a:ln>
              <a:noFill/>
            </a:ln>
            <a:effectLst/>
          </c:spPr>
          <c:invertIfNegative val="0"/>
          <c:dPt>
            <c:idx val="0"/>
            <c:invertIfNegative val="0"/>
            <c:bubble3D val="0"/>
            <c:spPr>
              <a:solidFill>
                <a:srgbClr val="E97132"/>
              </a:solidFill>
              <a:ln>
                <a:noFill/>
              </a:ln>
              <a:effectLst/>
            </c:spPr>
            <c:extLst>
              <c:ext xmlns:c16="http://schemas.microsoft.com/office/drawing/2014/chart" uri="{C3380CC4-5D6E-409C-BE32-E72D297353CC}">
                <c16:uniqueId val="{00000000-38A8-4317-80C0-0044605F67F7}"/>
              </c:ext>
            </c:extLst>
          </c:dPt>
          <c:dPt>
            <c:idx val="2"/>
            <c:invertIfNegative val="0"/>
            <c:bubble3D val="0"/>
            <c:spPr>
              <a:solidFill>
                <a:srgbClr val="E97132"/>
              </a:solidFill>
              <a:ln>
                <a:noFill/>
              </a:ln>
              <a:effectLst/>
            </c:spPr>
            <c:extLst>
              <c:ext xmlns:c16="http://schemas.microsoft.com/office/drawing/2014/chart" uri="{C3380CC4-5D6E-409C-BE32-E72D297353CC}">
                <c16:uniqueId val="{00000001-38A8-4317-80C0-0044605F67F7}"/>
              </c:ext>
            </c:extLst>
          </c:dPt>
          <c:dPt>
            <c:idx val="4"/>
            <c:invertIfNegative val="0"/>
            <c:bubble3D val="0"/>
            <c:spPr>
              <a:solidFill>
                <a:srgbClr val="E97132"/>
              </a:solidFill>
              <a:ln>
                <a:noFill/>
              </a:ln>
              <a:effectLst/>
            </c:spPr>
            <c:extLst>
              <c:ext xmlns:c16="http://schemas.microsoft.com/office/drawing/2014/chart" uri="{C3380CC4-5D6E-409C-BE32-E72D297353CC}">
                <c16:uniqueId val="{00000002-38A8-4317-80C0-0044605F67F7}"/>
              </c:ext>
            </c:extLst>
          </c:dPt>
          <c:dPt>
            <c:idx val="6"/>
            <c:invertIfNegative val="0"/>
            <c:bubble3D val="0"/>
            <c:spPr>
              <a:solidFill>
                <a:srgbClr val="E97132"/>
              </a:solidFill>
              <a:ln>
                <a:noFill/>
              </a:ln>
              <a:effectLst/>
            </c:spPr>
            <c:extLst>
              <c:ext xmlns:c16="http://schemas.microsoft.com/office/drawing/2014/chart" uri="{C3380CC4-5D6E-409C-BE32-E72D297353CC}">
                <c16:uniqueId val="{00000003-38A8-4317-80C0-0044605F67F7}"/>
              </c:ext>
            </c:extLst>
          </c:dPt>
          <c:dPt>
            <c:idx val="8"/>
            <c:invertIfNegative val="0"/>
            <c:bubble3D val="0"/>
            <c:spPr>
              <a:solidFill>
                <a:srgbClr val="E97132"/>
              </a:solidFill>
              <a:ln>
                <a:noFill/>
              </a:ln>
              <a:effectLst/>
            </c:spPr>
            <c:extLst>
              <c:ext xmlns:c16="http://schemas.microsoft.com/office/drawing/2014/chart" uri="{C3380CC4-5D6E-409C-BE32-E72D297353CC}">
                <c16:uniqueId val="{00000004-38A8-4317-80C0-0044605F67F7}"/>
              </c:ext>
            </c:extLst>
          </c:dPt>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Pivot_Table!$E$12:$E$27</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Finance</c:v>
                  </c:pt>
                  <c:pt idx="2">
                    <c:v>HR</c:v>
                  </c:pt>
                  <c:pt idx="4">
                    <c:v>IT</c:v>
                  </c:pt>
                  <c:pt idx="6">
                    <c:v>Marketing</c:v>
                  </c:pt>
                  <c:pt idx="8">
                    <c:v>Sales</c:v>
                  </c:pt>
                </c:lvl>
              </c:multiLvlStrCache>
            </c:multiLvlStrRef>
          </c:cat>
          <c:val>
            <c:numRef>
              <c:f>Pivot_Table!$F$12:$F$27</c:f>
              <c:numCache>
                <c:formatCode>General</c:formatCode>
                <c:ptCount val="10"/>
                <c:pt idx="0">
                  <c:v>25</c:v>
                </c:pt>
                <c:pt idx="1">
                  <c:v>37</c:v>
                </c:pt>
                <c:pt idx="2">
                  <c:v>18</c:v>
                </c:pt>
                <c:pt idx="3">
                  <c:v>43</c:v>
                </c:pt>
                <c:pt idx="4">
                  <c:v>41</c:v>
                </c:pt>
                <c:pt idx="5">
                  <c:v>79</c:v>
                </c:pt>
                <c:pt idx="6">
                  <c:v>17</c:v>
                </c:pt>
                <c:pt idx="7">
                  <c:v>44</c:v>
                </c:pt>
                <c:pt idx="8">
                  <c:v>56</c:v>
                </c:pt>
                <c:pt idx="9">
                  <c:v>127</c:v>
                </c:pt>
              </c:numCache>
            </c:numRef>
          </c:val>
          <c:extLst>
            <c:ext xmlns:c16="http://schemas.microsoft.com/office/drawing/2014/chart" uri="{C3380CC4-5D6E-409C-BE32-E72D297353CC}">
              <c16:uniqueId val="{00000000-8344-4DCB-A377-0C82EB12AF63}"/>
            </c:ext>
          </c:extLst>
        </c:ser>
        <c:dLbls>
          <c:dLblPos val="outEnd"/>
          <c:showLegendKey val="0"/>
          <c:showVal val="1"/>
          <c:showCatName val="0"/>
          <c:showSerName val="0"/>
          <c:showPercent val="0"/>
          <c:showBubbleSize val="0"/>
        </c:dLbls>
        <c:gapWidth val="219"/>
        <c:overlap val="-27"/>
        <c:axId val="749491168"/>
        <c:axId val="405898656"/>
      </c:barChart>
      <c:catAx>
        <c:axId val="749491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405898656"/>
        <c:crosses val="autoZero"/>
        <c:auto val="1"/>
        <c:lblAlgn val="ctr"/>
        <c:lblOffset val="100"/>
        <c:noMultiLvlLbl val="0"/>
      </c:catAx>
      <c:valAx>
        <c:axId val="405898656"/>
        <c:scaling>
          <c:orientation val="minMax"/>
        </c:scaling>
        <c:delete val="1"/>
        <c:axPos val="l"/>
        <c:numFmt formatCode="General" sourceLinked="1"/>
        <c:majorTickMark val="out"/>
        <c:minorTickMark val="none"/>
        <c:tickLblPos val="nextTo"/>
        <c:crossAx val="749491168"/>
        <c:crosses val="autoZero"/>
        <c:crossBetween val="between"/>
      </c:valAx>
      <c:spPr>
        <a:noFill/>
        <a:ln>
          <a:noFill/>
        </a:ln>
        <a:effectLst/>
      </c:spPr>
    </c:plotArea>
    <c:plotVisOnly val="1"/>
    <c:dispBlanksAs val="gap"/>
    <c:showDLblsOverMax val="0"/>
    <c:extLst/>
  </c:chart>
  <c:spPr>
    <a:solidFill>
      <a:schemeClr val="tx2">
        <a:lumMod val="10000"/>
        <a:lumOff val="90000"/>
      </a:schemeClr>
    </a:solidFill>
    <a:ln w="19050" cap="flat" cmpd="sng" algn="ctr">
      <a:no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[clean_chat_gpt_messy_employee_dataset.xlsx]Pivot_Table!PivotTable8</c:name>
    <c:fmtId val="5"/>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b="1"/>
              <a:t>Department wise Performance</a:t>
            </a:r>
          </a:p>
        </c:rich>
      </c:tx>
      <c:layout>
        <c:manualLayout>
          <c:xMode val="edge"/>
          <c:yMode val="edge"/>
          <c:x val="0.27037391921456266"/>
          <c:y val="6.03314718897485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Pivot_Table!$I$1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Pivot_Table!$H$2:$H$7</c:f>
              <c:strCache>
                <c:ptCount val="5"/>
                <c:pt idx="0">
                  <c:v>Finance</c:v>
                </c:pt>
                <c:pt idx="1">
                  <c:v>HR</c:v>
                </c:pt>
                <c:pt idx="2">
                  <c:v>IT</c:v>
                </c:pt>
                <c:pt idx="3">
                  <c:v>Marketing</c:v>
                </c:pt>
                <c:pt idx="4">
                  <c:v>Sales</c:v>
                </c:pt>
              </c:strCache>
            </c:strRef>
          </c:cat>
          <c:val>
            <c:numRef>
              <c:f>Pivot_Table!$I$2:$I$7</c:f>
              <c:numCache>
                <c:formatCode>0.00%</c:formatCode>
                <c:ptCount val="5"/>
                <c:pt idx="0">
                  <c:v>0.12536242942163897</c:v>
                </c:pt>
                <c:pt idx="1">
                  <c:v>0.12963528155043497</c:v>
                </c:pt>
                <c:pt idx="2">
                  <c:v>0.24965664581107885</c:v>
                </c:pt>
                <c:pt idx="3">
                  <c:v>0.10659240042728525</c:v>
                </c:pt>
                <c:pt idx="4">
                  <c:v>0.38875324278956191</c:v>
                </c:pt>
              </c:numCache>
            </c:numRef>
          </c:val>
          <c:extLst>
            <c:ext xmlns:c16="http://schemas.microsoft.com/office/drawing/2014/chart" uri="{C3380CC4-5D6E-409C-BE32-E72D297353CC}">
              <c16:uniqueId val="{00000000-8344-4DCB-A377-0C82EB12AF63}"/>
            </c:ext>
          </c:extLst>
        </c:ser>
        <c:dLbls>
          <c:dLblPos val="outEnd"/>
          <c:showLegendKey val="0"/>
          <c:showVal val="1"/>
          <c:showCatName val="0"/>
          <c:showSerName val="0"/>
          <c:showPercent val="0"/>
          <c:showBubbleSize val="0"/>
        </c:dLbls>
        <c:gapWidth val="219"/>
        <c:axId val="749491168"/>
        <c:axId val="405898656"/>
      </c:barChart>
      <c:catAx>
        <c:axId val="7494911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405898656"/>
        <c:crosses val="autoZero"/>
        <c:auto val="1"/>
        <c:lblAlgn val="ctr"/>
        <c:lblOffset val="100"/>
        <c:noMultiLvlLbl val="0"/>
      </c:catAx>
      <c:valAx>
        <c:axId val="405898656"/>
        <c:scaling>
          <c:orientation val="minMax"/>
        </c:scaling>
        <c:delete val="1"/>
        <c:axPos val="b"/>
        <c:numFmt formatCode="0.00%" sourceLinked="1"/>
        <c:majorTickMark val="out"/>
        <c:minorTickMark val="none"/>
        <c:tickLblPos val="nextTo"/>
        <c:crossAx val="749491168"/>
        <c:crosses val="autoZero"/>
        <c:crossBetween val="between"/>
      </c:valAx>
      <c:spPr>
        <a:noFill/>
        <a:ln>
          <a:noFill/>
        </a:ln>
        <a:effectLst/>
      </c:spPr>
    </c:plotArea>
    <c:plotVisOnly val="1"/>
    <c:dispBlanksAs val="gap"/>
    <c:showDLblsOverMax val="0"/>
    <c:extLst/>
  </c:chart>
  <c:spPr>
    <a:solidFill>
      <a:schemeClr val="tx2">
        <a:lumMod val="10000"/>
        <a:lumOff val="90000"/>
      </a:schemeClr>
    </a:solidFill>
    <a:ln w="19050" cap="flat" cmpd="sng" algn="ctr">
      <a:no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[clean_chat_gpt_messy_employee_dataset.xlsx]Pivot_Table!PivotTable2</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a:t>Department wise Employee Count</a:t>
            </a:r>
          </a:p>
        </c:rich>
      </c:tx>
      <c:layout>
        <c:manualLayout>
          <c:xMode val="edge"/>
          <c:yMode val="edge"/>
          <c:x val="0.30265238065400973"/>
          <c:y val="3.69636886850781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Pivot_Table!$A$2:$A$7</c:f>
              <c:strCache>
                <c:ptCount val="5"/>
                <c:pt idx="0">
                  <c:v>Finance</c:v>
                </c:pt>
                <c:pt idx="1">
                  <c:v>HR</c:v>
                </c:pt>
                <c:pt idx="2">
                  <c:v>IT</c:v>
                </c:pt>
                <c:pt idx="3">
                  <c:v>Marketing</c:v>
                </c:pt>
                <c:pt idx="4">
                  <c:v>Sales</c:v>
                </c:pt>
              </c:strCache>
            </c:strRef>
          </c:cat>
          <c:val>
            <c:numRef>
              <c:f>Pivot_Table!$B$2:$B$7</c:f>
              <c:numCache>
                <c:formatCode>General</c:formatCode>
                <c:ptCount val="5"/>
                <c:pt idx="0">
                  <c:v>62</c:v>
                </c:pt>
                <c:pt idx="1">
                  <c:v>61</c:v>
                </c:pt>
                <c:pt idx="2">
                  <c:v>120</c:v>
                </c:pt>
                <c:pt idx="3">
                  <c:v>61</c:v>
                </c:pt>
                <c:pt idx="4">
                  <c:v>183</c:v>
                </c:pt>
              </c:numCache>
            </c:numRef>
          </c:val>
          <c:extLst>
            <c:ext xmlns:c16="http://schemas.microsoft.com/office/drawing/2014/chart" uri="{C3380CC4-5D6E-409C-BE32-E72D297353CC}">
              <c16:uniqueId val="{00000000-8344-4DCB-A377-0C82EB12AF63}"/>
            </c:ext>
          </c:extLst>
        </c:ser>
        <c:dLbls>
          <c:dLblPos val="outEnd"/>
          <c:showLegendKey val="0"/>
          <c:showVal val="1"/>
          <c:showCatName val="0"/>
          <c:showSerName val="0"/>
          <c:showPercent val="0"/>
          <c:showBubbleSize val="0"/>
        </c:dLbls>
        <c:gapWidth val="219"/>
        <c:overlap val="-27"/>
        <c:axId val="749491168"/>
        <c:axId val="405898656"/>
      </c:barChart>
      <c:catAx>
        <c:axId val="749491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405898656"/>
        <c:crosses val="autoZero"/>
        <c:auto val="1"/>
        <c:lblAlgn val="ctr"/>
        <c:lblOffset val="100"/>
        <c:noMultiLvlLbl val="0"/>
      </c:catAx>
      <c:valAx>
        <c:axId val="405898656"/>
        <c:scaling>
          <c:orientation val="minMax"/>
        </c:scaling>
        <c:delete val="1"/>
        <c:axPos val="l"/>
        <c:numFmt formatCode="General" sourceLinked="1"/>
        <c:majorTickMark val="out"/>
        <c:minorTickMark val="none"/>
        <c:tickLblPos val="nextTo"/>
        <c:crossAx val="74949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19050" cap="flat" cmpd="sng" algn="ctr">
      <a:no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[clean_chat_gpt_messy_employee_dataset.xlsx]Pivot_Table!PivotTable9</c:name>
    <c:fmtId val="2"/>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b="1"/>
              <a:t>Age wise Distribution</a:t>
            </a:r>
          </a:p>
        </c:rich>
      </c:tx>
      <c:layout>
        <c:manualLayout>
          <c:xMode val="edge"/>
          <c:yMode val="edge"/>
          <c:x val="0.28760157513115475"/>
          <c:y val="7.442960900117412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Pivot_Table!$I$11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Pivot_Table!$H$12:$H$17</c:f>
              <c:strCache>
                <c:ptCount val="5"/>
                <c:pt idx="0">
                  <c:v>18-32</c:v>
                </c:pt>
                <c:pt idx="1">
                  <c:v>33-47</c:v>
                </c:pt>
                <c:pt idx="2">
                  <c:v>48-62</c:v>
                </c:pt>
                <c:pt idx="3">
                  <c:v>63-77</c:v>
                </c:pt>
                <c:pt idx="4">
                  <c:v>78-92</c:v>
                </c:pt>
              </c:strCache>
            </c:strRef>
          </c:cat>
          <c:val>
            <c:numRef>
              <c:f>Pivot_Table!$I$12:$I$17</c:f>
              <c:numCache>
                <c:formatCode>General</c:formatCode>
                <c:ptCount val="5"/>
                <c:pt idx="0">
                  <c:v>125</c:v>
                </c:pt>
                <c:pt idx="1">
                  <c:v>24</c:v>
                </c:pt>
                <c:pt idx="2">
                  <c:v>240</c:v>
                </c:pt>
                <c:pt idx="3">
                  <c:v>47</c:v>
                </c:pt>
                <c:pt idx="4">
                  <c:v>51</c:v>
                </c:pt>
              </c:numCache>
            </c:numRef>
          </c:val>
          <c:extLst>
            <c:ext xmlns:c16="http://schemas.microsoft.com/office/drawing/2014/chart" uri="{C3380CC4-5D6E-409C-BE32-E72D297353CC}">
              <c16:uniqueId val="{00000000-8344-4DCB-A377-0C82EB12AF63}"/>
            </c:ext>
          </c:extLst>
        </c:ser>
        <c:dLbls>
          <c:dLblPos val="outEnd"/>
          <c:showLegendKey val="0"/>
          <c:showVal val="1"/>
          <c:showCatName val="0"/>
          <c:showSerName val="0"/>
          <c:showPercent val="0"/>
          <c:showBubbleSize val="0"/>
        </c:dLbls>
        <c:gapWidth val="219"/>
        <c:axId val="749491168"/>
        <c:axId val="405898656"/>
      </c:barChart>
      <c:catAx>
        <c:axId val="749491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405898656"/>
        <c:crosses val="autoZero"/>
        <c:auto val="1"/>
        <c:lblAlgn val="ctr"/>
        <c:lblOffset val="100"/>
        <c:noMultiLvlLbl val="0"/>
      </c:catAx>
      <c:valAx>
        <c:axId val="405898656"/>
        <c:scaling>
          <c:orientation val="minMax"/>
        </c:scaling>
        <c:delete val="1"/>
        <c:axPos val="l"/>
        <c:numFmt formatCode="General" sourceLinked="1"/>
        <c:majorTickMark val="out"/>
        <c:minorTickMark val="none"/>
        <c:tickLblPos val="nextTo"/>
        <c:crossAx val="749491168"/>
        <c:crosses val="autoZero"/>
        <c:crossBetween val="between"/>
      </c:valAx>
      <c:spPr>
        <a:noFill/>
        <a:ln>
          <a:noFill/>
        </a:ln>
        <a:effectLst/>
      </c:spPr>
    </c:plotArea>
    <c:plotVisOnly val="1"/>
    <c:dispBlanksAs val="gap"/>
    <c:showDLblsOverMax val="0"/>
    <c:extLst/>
  </c:chart>
  <c:spPr>
    <a:solidFill>
      <a:schemeClr val="tx2">
        <a:lumMod val="10000"/>
        <a:lumOff val="90000"/>
      </a:schemeClr>
    </a:solidFill>
    <a:ln w="19050" cap="flat" cmpd="sng" algn="ctr">
      <a:no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[clean_chat_gpt_messy_employee_dataset.xlsx]Pivot_Table!PivotTable7</c:name>
    <c:fmtId val="4"/>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b="1"/>
              <a:t>Top 5 Salary Holder</a:t>
            </a:r>
          </a:p>
        </c:rich>
      </c:tx>
      <c:layout>
        <c:manualLayout>
          <c:xMode val="edge"/>
          <c:yMode val="edge"/>
          <c:x val="0.30265238065400973"/>
          <c:y val="3.696368868507810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Pivot_Table!$A$31:$A$36</c:f>
              <c:strCache>
                <c:ptCount val="5"/>
                <c:pt idx="0">
                  <c:v>EMP1023</c:v>
                </c:pt>
                <c:pt idx="1">
                  <c:v>EMP1090</c:v>
                </c:pt>
                <c:pt idx="2">
                  <c:v>EMP1155</c:v>
                </c:pt>
                <c:pt idx="3">
                  <c:v>EMP1354</c:v>
                </c:pt>
                <c:pt idx="4">
                  <c:v>EMP1401</c:v>
                </c:pt>
              </c:strCache>
            </c:strRef>
          </c:cat>
          <c:val>
            <c:numRef>
              <c:f>Pivot_Table!$B$31:$B$36</c:f>
              <c:numCache>
                <c:formatCode>General</c:formatCode>
                <c:ptCount val="5"/>
                <c:pt idx="0">
                  <c:v>482513</c:v>
                </c:pt>
                <c:pt idx="1">
                  <c:v>491278</c:v>
                </c:pt>
                <c:pt idx="2">
                  <c:v>493932</c:v>
                </c:pt>
                <c:pt idx="3">
                  <c:v>498320</c:v>
                </c:pt>
                <c:pt idx="4">
                  <c:v>499193</c:v>
                </c:pt>
              </c:numCache>
            </c:numRef>
          </c:val>
          <c:extLst>
            <c:ext xmlns:c16="http://schemas.microsoft.com/office/drawing/2014/chart" uri="{C3380CC4-5D6E-409C-BE32-E72D297353CC}">
              <c16:uniqueId val="{00000000-8344-4DCB-A377-0C82EB12AF63}"/>
            </c:ext>
          </c:extLst>
        </c:ser>
        <c:dLbls>
          <c:dLblPos val="outEnd"/>
          <c:showLegendKey val="0"/>
          <c:showVal val="1"/>
          <c:showCatName val="0"/>
          <c:showSerName val="0"/>
          <c:showPercent val="0"/>
          <c:showBubbleSize val="0"/>
        </c:dLbls>
        <c:gapWidth val="219"/>
        <c:overlap val="-27"/>
        <c:axId val="749491168"/>
        <c:axId val="405898656"/>
      </c:barChart>
      <c:catAx>
        <c:axId val="749491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405898656"/>
        <c:crosses val="autoZero"/>
        <c:auto val="1"/>
        <c:lblAlgn val="ctr"/>
        <c:lblOffset val="100"/>
        <c:noMultiLvlLbl val="0"/>
      </c:catAx>
      <c:valAx>
        <c:axId val="405898656"/>
        <c:scaling>
          <c:orientation val="minMax"/>
        </c:scaling>
        <c:delete val="1"/>
        <c:axPos val="l"/>
        <c:numFmt formatCode="General" sourceLinked="1"/>
        <c:majorTickMark val="out"/>
        <c:minorTickMark val="none"/>
        <c:tickLblPos val="nextTo"/>
        <c:crossAx val="749491168"/>
        <c:crosses val="autoZero"/>
        <c:crossBetween val="between"/>
      </c:valAx>
      <c:spPr>
        <a:noFill/>
        <a:ln>
          <a:noFill/>
        </a:ln>
        <a:effectLst/>
      </c:spPr>
    </c:plotArea>
    <c:plotVisOnly val="1"/>
    <c:dispBlanksAs val="gap"/>
    <c:showDLblsOverMax val="0"/>
    <c:extLst/>
  </c:chart>
  <c:spPr>
    <a:solidFill>
      <a:schemeClr val="tx2">
        <a:lumMod val="10000"/>
        <a:lumOff val="90000"/>
      </a:schemeClr>
    </a:solidFill>
    <a:ln w="19050" cap="flat" cmpd="sng" algn="ctr">
      <a:no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2.svg"/><Relationship Id="rId3" Type="http://schemas.openxmlformats.org/officeDocument/2006/relationships/chart" Target="../charts/chart3.xml"/><Relationship Id="rId7" Type="http://schemas.openxmlformats.org/officeDocument/2006/relationships/image" Target="../media/image1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17.png"/><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6.sv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8.sv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10.svg"/><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2" Type="http://schemas.openxmlformats.org/officeDocument/2006/relationships/image" Target="../media/image14.svg"/><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2" Type="http://schemas.openxmlformats.org/officeDocument/2006/relationships/image" Target="../media/image16.svg"/><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1</xdr:colOff>
      <xdr:row>23</xdr:row>
      <xdr:rowOff>28574</xdr:rowOff>
    </xdr:to>
    <xdr:sp macro="" textlink="">
      <xdr:nvSpPr>
        <xdr:cNvPr id="2" name="Rectangle 1">
          <a:extLst>
            <a:ext uri="{FF2B5EF4-FFF2-40B4-BE49-F238E27FC236}">
              <a16:creationId xmlns:a16="http://schemas.microsoft.com/office/drawing/2014/main" id="{319B3E6D-621C-8CB7-878A-6A607C70670E}"/>
            </a:ext>
          </a:extLst>
        </xdr:cNvPr>
        <xdr:cNvSpPr/>
      </xdr:nvSpPr>
      <xdr:spPr>
        <a:xfrm>
          <a:off x="0" y="0"/>
          <a:ext cx="12192001" cy="4410074"/>
        </a:xfrm>
        <a:prstGeom prst="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67235</xdr:colOff>
      <xdr:row>0</xdr:row>
      <xdr:rowOff>0</xdr:rowOff>
    </xdr:from>
    <xdr:to>
      <xdr:col>20</xdr:col>
      <xdr:colOff>40340</xdr:colOff>
      <xdr:row>23</xdr:row>
      <xdr:rowOff>38100</xdr:rowOff>
    </xdr:to>
    <xdr:sp macro="" textlink="">
      <xdr:nvSpPr>
        <xdr:cNvPr id="3" name="Rectangle 2">
          <a:extLst>
            <a:ext uri="{FF2B5EF4-FFF2-40B4-BE49-F238E27FC236}">
              <a16:creationId xmlns:a16="http://schemas.microsoft.com/office/drawing/2014/main" id="{3AD50566-BB89-4845-A281-F3D3FDD71644}"/>
            </a:ext>
          </a:extLst>
        </xdr:cNvPr>
        <xdr:cNvSpPr/>
      </xdr:nvSpPr>
      <xdr:spPr>
        <a:xfrm>
          <a:off x="1882588" y="0"/>
          <a:ext cx="10260105" cy="4419600"/>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67235</xdr:colOff>
      <xdr:row>1</xdr:row>
      <xdr:rowOff>38100</xdr:rowOff>
    </xdr:from>
    <xdr:to>
      <xdr:col>3</xdr:col>
      <xdr:colOff>26894</xdr:colOff>
      <xdr:row>6</xdr:row>
      <xdr:rowOff>33618</xdr:rowOff>
    </xdr:to>
    <xdr:sp macro="" textlink="">
      <xdr:nvSpPr>
        <xdr:cNvPr id="4" name="Rectangle: Rounded Corners 3">
          <a:extLst>
            <a:ext uri="{FF2B5EF4-FFF2-40B4-BE49-F238E27FC236}">
              <a16:creationId xmlns:a16="http://schemas.microsoft.com/office/drawing/2014/main" id="{64961AE1-3769-1698-1E3B-888901EF7C9A}"/>
            </a:ext>
          </a:extLst>
        </xdr:cNvPr>
        <xdr:cNvSpPr/>
      </xdr:nvSpPr>
      <xdr:spPr>
        <a:xfrm>
          <a:off x="67235" y="228600"/>
          <a:ext cx="1775012" cy="948018"/>
        </a:xfrm>
        <a:prstGeom prst="roundRect">
          <a:avLst>
            <a:gd name="adj" fmla="val 50000"/>
          </a:avLst>
        </a:prstGeom>
        <a:noFill/>
        <a:ln>
          <a:solidFill>
            <a:schemeClr val="bg1"/>
          </a:solidFill>
          <a:extLst>
            <a:ext uri="{C807C97D-BFC1-408E-A445-0C87EB9F89A2}">
              <ask:lineSketchStyleProps xmlns:ask="http://schemas.microsoft.com/office/drawing/2018/sketchyshapes">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466725</xdr:colOff>
      <xdr:row>1</xdr:row>
      <xdr:rowOff>123823</xdr:rowOff>
    </xdr:from>
    <xdr:to>
      <xdr:col>2</xdr:col>
      <xdr:colOff>523875</xdr:colOff>
      <xdr:row>5</xdr:row>
      <xdr:rowOff>100853</xdr:rowOff>
    </xdr:to>
    <xdr:sp macro="" textlink="">
      <xdr:nvSpPr>
        <xdr:cNvPr id="5" name="TextBox 4">
          <a:extLst>
            <a:ext uri="{FF2B5EF4-FFF2-40B4-BE49-F238E27FC236}">
              <a16:creationId xmlns:a16="http://schemas.microsoft.com/office/drawing/2014/main" id="{27612F5F-DF40-874D-53C6-A76E3583F863}"/>
            </a:ext>
          </a:extLst>
        </xdr:cNvPr>
        <xdr:cNvSpPr txBox="1"/>
      </xdr:nvSpPr>
      <xdr:spPr>
        <a:xfrm>
          <a:off x="466725" y="314323"/>
          <a:ext cx="1267385" cy="739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1"/>
              </a:solidFill>
              <a:latin typeface="Arial Black" panose="020B0A04020102020204" pitchFamily="34" charset="0"/>
            </a:rPr>
            <a:t>Human</a:t>
          </a:r>
        </a:p>
        <a:p>
          <a:pPr algn="ctr"/>
          <a:r>
            <a:rPr lang="en-IN" sz="1200" b="1">
              <a:solidFill>
                <a:schemeClr val="bg1"/>
              </a:solidFill>
              <a:latin typeface="Arial Black" panose="020B0A04020102020204" pitchFamily="34" charset="0"/>
            </a:rPr>
            <a:t>Capital</a:t>
          </a:r>
          <a:r>
            <a:rPr lang="en-IN" sz="1200" b="1" baseline="0">
              <a:solidFill>
                <a:schemeClr val="bg1"/>
              </a:solidFill>
              <a:latin typeface="Arial Black" panose="020B0A04020102020204" pitchFamily="34" charset="0"/>
            </a:rPr>
            <a:t> Dashboard</a:t>
          </a:r>
          <a:endParaRPr lang="en-IN" sz="1200" b="1">
            <a:solidFill>
              <a:schemeClr val="bg1"/>
            </a:solidFill>
            <a:latin typeface="Arial Black" panose="020B0A04020102020204" pitchFamily="34" charset="0"/>
          </a:endParaRPr>
        </a:p>
      </xdr:txBody>
    </xdr:sp>
    <xdr:clientData/>
  </xdr:twoCellAnchor>
  <xdr:twoCellAnchor>
    <xdr:from>
      <xdr:col>3</xdr:col>
      <xdr:colOff>117100</xdr:colOff>
      <xdr:row>7</xdr:row>
      <xdr:rowOff>44824</xdr:rowOff>
    </xdr:from>
    <xdr:to>
      <xdr:col>8</xdr:col>
      <xdr:colOff>481853</xdr:colOff>
      <xdr:row>15</xdr:row>
      <xdr:rowOff>134471</xdr:rowOff>
    </xdr:to>
    <xdr:graphicFrame macro="">
      <xdr:nvGraphicFramePr>
        <xdr:cNvPr id="9" name="Chart 8">
          <a:extLst>
            <a:ext uri="{FF2B5EF4-FFF2-40B4-BE49-F238E27FC236}">
              <a16:creationId xmlns:a16="http://schemas.microsoft.com/office/drawing/2014/main" id="{6ABCA294-E5A7-4237-AC18-A5A44D097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605117</xdr:colOff>
      <xdr:row>0</xdr:row>
      <xdr:rowOff>56028</xdr:rowOff>
    </xdr:from>
    <xdr:to>
      <xdr:col>19</xdr:col>
      <xdr:colOff>593912</xdr:colOff>
      <xdr:row>6</xdr:row>
      <xdr:rowOff>56027</xdr:rowOff>
    </xdr:to>
    <xdr:graphicFrame macro="">
      <xdr:nvGraphicFramePr>
        <xdr:cNvPr id="12" name="Chart 11">
          <a:extLst>
            <a:ext uri="{FF2B5EF4-FFF2-40B4-BE49-F238E27FC236}">
              <a16:creationId xmlns:a16="http://schemas.microsoft.com/office/drawing/2014/main" id="{F5CA14C4-A9D7-4F79-AEDD-F29EEDB9D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11207</xdr:colOff>
      <xdr:row>14</xdr:row>
      <xdr:rowOff>78441</xdr:rowOff>
    </xdr:from>
    <xdr:to>
      <xdr:col>19</xdr:col>
      <xdr:colOff>593913</xdr:colOff>
      <xdr:row>22</xdr:row>
      <xdr:rowOff>156882</xdr:rowOff>
    </xdr:to>
    <xdr:graphicFrame macro="">
      <xdr:nvGraphicFramePr>
        <xdr:cNvPr id="13" name="Chart 12">
          <a:extLst>
            <a:ext uri="{FF2B5EF4-FFF2-40B4-BE49-F238E27FC236}">
              <a16:creationId xmlns:a16="http://schemas.microsoft.com/office/drawing/2014/main" id="{F99718EA-BEFD-4223-AB68-584FC551BD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569260</xdr:colOff>
      <xdr:row>0</xdr:row>
      <xdr:rowOff>56028</xdr:rowOff>
    </xdr:from>
    <xdr:to>
      <xdr:col>14</xdr:col>
      <xdr:colOff>504265</xdr:colOff>
      <xdr:row>10</xdr:row>
      <xdr:rowOff>145675</xdr:rowOff>
    </xdr:to>
    <xdr:graphicFrame macro="">
      <xdr:nvGraphicFramePr>
        <xdr:cNvPr id="14" name="Chart 13">
          <a:extLst>
            <a:ext uri="{FF2B5EF4-FFF2-40B4-BE49-F238E27FC236}">
              <a16:creationId xmlns:a16="http://schemas.microsoft.com/office/drawing/2014/main" id="{88226D18-1350-4C56-9867-4EA0E244F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xdr:colOff>
      <xdr:row>11</xdr:row>
      <xdr:rowOff>56031</xdr:rowOff>
    </xdr:from>
    <xdr:to>
      <xdr:col>14</xdr:col>
      <xdr:colOff>537883</xdr:colOff>
      <xdr:row>22</xdr:row>
      <xdr:rowOff>134471</xdr:rowOff>
    </xdr:to>
    <xdr:graphicFrame macro="">
      <xdr:nvGraphicFramePr>
        <xdr:cNvPr id="15" name="Chart 14">
          <a:extLst>
            <a:ext uri="{FF2B5EF4-FFF2-40B4-BE49-F238E27FC236}">
              <a16:creationId xmlns:a16="http://schemas.microsoft.com/office/drawing/2014/main" id="{EB791F1F-C815-4200-8386-8BD979D6F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100853</xdr:colOff>
      <xdr:row>0</xdr:row>
      <xdr:rowOff>56028</xdr:rowOff>
    </xdr:from>
    <xdr:to>
      <xdr:col>8</xdr:col>
      <xdr:colOff>481853</xdr:colOff>
      <xdr:row>6</xdr:row>
      <xdr:rowOff>155760</xdr:rowOff>
    </xdr:to>
    <xdr:grpSp>
      <xdr:nvGrpSpPr>
        <xdr:cNvPr id="6" name="Group 5">
          <a:extLst>
            <a:ext uri="{FF2B5EF4-FFF2-40B4-BE49-F238E27FC236}">
              <a16:creationId xmlns:a16="http://schemas.microsoft.com/office/drawing/2014/main" id="{C56916DC-2BEF-F91A-FF7B-AF329B9E3443}"/>
            </a:ext>
          </a:extLst>
        </xdr:cNvPr>
        <xdr:cNvGrpSpPr/>
      </xdr:nvGrpSpPr>
      <xdr:grpSpPr>
        <a:xfrm>
          <a:off x="1916206" y="56028"/>
          <a:ext cx="3406588" cy="1242732"/>
          <a:chOff x="1959909" y="79562"/>
          <a:chExt cx="3358963" cy="1962150"/>
        </a:xfrm>
      </xdr:grpSpPr>
      <xdr:graphicFrame macro="">
        <xdr:nvGraphicFramePr>
          <xdr:cNvPr id="8" name="Chart 7">
            <a:extLst>
              <a:ext uri="{FF2B5EF4-FFF2-40B4-BE49-F238E27FC236}">
                <a16:creationId xmlns:a16="http://schemas.microsoft.com/office/drawing/2014/main" id="{ECB526D6-EDB3-46FA-A5B1-652F1FDE0B44}"/>
              </a:ext>
            </a:extLst>
          </xdr:cNvPr>
          <xdr:cNvGraphicFramePr>
            <a:graphicFrameLocks/>
          </xdr:cNvGraphicFramePr>
        </xdr:nvGraphicFramePr>
        <xdr:xfrm>
          <a:off x="1959909" y="79562"/>
          <a:ext cx="3358963" cy="1962150"/>
        </xdr:xfrm>
        <a:graphic>
          <a:graphicData uri="http://schemas.openxmlformats.org/drawingml/2006/chart">
            <c:chart xmlns:c="http://schemas.openxmlformats.org/drawingml/2006/chart" xmlns:r="http://schemas.openxmlformats.org/officeDocument/2006/relationships" r:id="rId6"/>
          </a:graphicData>
        </a:graphic>
      </xdr:graphicFrame>
      <xdr:pic>
        <xdr:nvPicPr>
          <xdr:cNvPr id="17" name="Graphic 16" descr="Group of women outline">
            <a:extLst>
              <a:ext uri="{FF2B5EF4-FFF2-40B4-BE49-F238E27FC236}">
                <a16:creationId xmlns:a16="http://schemas.microsoft.com/office/drawing/2014/main" id="{F5BD229A-61D1-BE84-84FC-7FE7688E04A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028265" y="89648"/>
            <a:ext cx="660893" cy="717176"/>
          </a:xfrm>
          <a:prstGeom prst="rect">
            <a:avLst/>
          </a:prstGeom>
        </xdr:spPr>
      </xdr:pic>
    </xdr:grpSp>
    <xdr:clientData/>
  </xdr:twoCellAnchor>
  <xdr:twoCellAnchor editAs="oneCell">
    <xdr:from>
      <xdr:col>0</xdr:col>
      <xdr:colOff>100853</xdr:colOff>
      <xdr:row>6</xdr:row>
      <xdr:rowOff>156884</xdr:rowOff>
    </xdr:from>
    <xdr:to>
      <xdr:col>2</xdr:col>
      <xdr:colOff>549089</xdr:colOff>
      <xdr:row>16</xdr:row>
      <xdr:rowOff>78442</xdr:rowOff>
    </xdr:to>
    <mc:AlternateContent xmlns:mc="http://schemas.openxmlformats.org/markup-compatibility/2006" xmlns:a14="http://schemas.microsoft.com/office/drawing/2010/main">
      <mc:Choice Requires="a14">
        <xdr:graphicFrame macro="">
          <xdr:nvGraphicFramePr>
            <xdr:cNvPr id="10" name="department">
              <a:extLst>
                <a:ext uri="{FF2B5EF4-FFF2-40B4-BE49-F238E27FC236}">
                  <a16:creationId xmlns:a16="http://schemas.microsoft.com/office/drawing/2014/main" id="{5DCA06F9-E01D-4C97-8217-18C2B3896FB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0853" y="1299884"/>
              <a:ext cx="1658471" cy="18265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132230</xdr:colOff>
      <xdr:row>16</xdr:row>
      <xdr:rowOff>22412</xdr:rowOff>
    </xdr:from>
    <xdr:to>
      <xdr:col>8</xdr:col>
      <xdr:colOff>481853</xdr:colOff>
      <xdr:row>22</xdr:row>
      <xdr:rowOff>156884</xdr:rowOff>
    </xdr:to>
    <xdr:graphicFrame macro="">
      <xdr:nvGraphicFramePr>
        <xdr:cNvPr id="11" name="Chart 10">
          <a:extLst>
            <a:ext uri="{FF2B5EF4-FFF2-40B4-BE49-F238E27FC236}">
              <a16:creationId xmlns:a16="http://schemas.microsoft.com/office/drawing/2014/main" id="{324F4BF0-F102-43B6-86CB-9170D1CC2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11204</xdr:colOff>
      <xdr:row>6</xdr:row>
      <xdr:rowOff>134471</xdr:rowOff>
    </xdr:from>
    <xdr:to>
      <xdr:col>19</xdr:col>
      <xdr:colOff>582705</xdr:colOff>
      <xdr:row>14</xdr:row>
      <xdr:rowOff>11206</xdr:rowOff>
    </xdr:to>
    <xdr:graphicFrame macro="">
      <xdr:nvGraphicFramePr>
        <xdr:cNvPr id="16" name="Chart 15">
          <a:extLst>
            <a:ext uri="{FF2B5EF4-FFF2-40B4-BE49-F238E27FC236}">
              <a16:creationId xmlns:a16="http://schemas.microsoft.com/office/drawing/2014/main" id="{4ABAD50B-4A32-42B3-9BFF-7EC990A84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0</xdr:col>
      <xdr:colOff>100853</xdr:colOff>
      <xdr:row>17</xdr:row>
      <xdr:rowOff>112058</xdr:rowOff>
    </xdr:from>
    <xdr:to>
      <xdr:col>2</xdr:col>
      <xdr:colOff>560296</xdr:colOff>
      <xdr:row>22</xdr:row>
      <xdr:rowOff>149598</xdr:rowOff>
    </xdr:to>
    <mc:AlternateContent xmlns:mc="http://schemas.openxmlformats.org/markup-compatibility/2006" xmlns:sle15="http://schemas.microsoft.com/office/drawing/2012/slicer">
      <mc:Choice Requires="sle15">
        <xdr:graphicFrame macro="">
          <xdr:nvGraphicFramePr>
            <xdr:cNvPr id="18" name="gender">
              <a:extLst>
                <a:ext uri="{FF2B5EF4-FFF2-40B4-BE49-F238E27FC236}">
                  <a16:creationId xmlns:a16="http://schemas.microsoft.com/office/drawing/2014/main" id="{54878036-E13F-4DA2-A00C-C4748DFA5C4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0853" y="3350558"/>
              <a:ext cx="1669678" cy="99004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0</xdr:col>
      <xdr:colOff>156882</xdr:colOff>
      <xdr:row>1</xdr:row>
      <xdr:rowOff>179295</xdr:rowOff>
    </xdr:from>
    <xdr:to>
      <xdr:col>1</xdr:col>
      <xdr:colOff>33617</xdr:colOff>
      <xdr:row>4</xdr:row>
      <xdr:rowOff>134471</xdr:rowOff>
    </xdr:to>
    <xdr:pic>
      <xdr:nvPicPr>
        <xdr:cNvPr id="21" name="Picture 20">
          <a:extLst>
            <a:ext uri="{FF2B5EF4-FFF2-40B4-BE49-F238E27FC236}">
              <a16:creationId xmlns:a16="http://schemas.microsoft.com/office/drawing/2014/main" id="{8E4F635A-2AB8-85E8-4107-76266B37C6D9}"/>
            </a:ext>
          </a:extLst>
        </xdr:cNvPr>
        <xdr:cNvPicPr>
          <a:picLocks noChangeAspect="1"/>
        </xdr:cNvPicPr>
      </xdr:nvPicPr>
      <xdr:blipFill>
        <a:blip xmlns:r="http://schemas.openxmlformats.org/officeDocument/2006/relationships" r:embed="rId11"/>
        <a:stretch>
          <a:fillRect/>
        </a:stretch>
      </xdr:blipFill>
      <xdr:spPr>
        <a:xfrm>
          <a:off x="156882" y="369795"/>
          <a:ext cx="481853" cy="526676"/>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0.04957</cdr:x>
      <cdr:y>0.00058</cdr:y>
    </cdr:from>
    <cdr:to>
      <cdr:x>0.2347</cdr:x>
      <cdr:y>0.24558</cdr:y>
    </cdr:to>
    <cdr:pic>
      <cdr:nvPicPr>
        <cdr:cNvPr id="3" name="Graphic 2" descr="Piggy Bank outline">
          <a:extLst xmlns:a="http://schemas.openxmlformats.org/drawingml/2006/main">
            <a:ext uri="{FF2B5EF4-FFF2-40B4-BE49-F238E27FC236}">
              <a16:creationId xmlns:a16="http://schemas.microsoft.com/office/drawing/2014/main" id="{ECA431E2-9117-6BE9-4BDC-BE622E00019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68057" y="1281"/>
          <a:ext cx="627648" cy="536720"/>
        </a:xfrm>
        <a:prstGeom xmlns:a="http://schemas.openxmlformats.org/drawingml/2006/main" prst="rect">
          <a:avLst/>
        </a:prstGeom>
      </cdr:spPr>
    </cdr:pic>
  </cdr:relSizeAnchor>
</c:userShapes>
</file>

<file path=xl/drawings/drawing3.xml><?xml version="1.0" encoding="utf-8"?>
<c:userShapes xmlns:c="http://schemas.openxmlformats.org/drawingml/2006/chart">
  <cdr:relSizeAnchor xmlns:cdr="http://schemas.openxmlformats.org/drawingml/2006/chartDrawing">
    <cdr:from>
      <cdr:x>0</cdr:x>
      <cdr:y>8.74891E-7</cdr:y>
    </cdr:from>
    <cdr:to>
      <cdr:x>0.27509</cdr:x>
      <cdr:y>0.28432</cdr:y>
    </cdr:to>
    <cdr:pic>
      <cdr:nvPicPr>
        <cdr:cNvPr id="3" name="Graphic 2" descr="Normal Distribution with solid fill">
          <a:extLst xmlns:a="http://schemas.openxmlformats.org/drawingml/2006/main">
            <a:ext uri="{FF2B5EF4-FFF2-40B4-BE49-F238E27FC236}">
              <a16:creationId xmlns:a16="http://schemas.microsoft.com/office/drawing/2014/main" id="{B1E0A668-E3A0-D88D-88FD-2E0B368A147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0" y="1"/>
          <a:ext cx="829227" cy="324971"/>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0.02612</cdr:x>
      <cdr:y>0</cdr:y>
    </cdr:from>
    <cdr:to>
      <cdr:x>0.30448</cdr:x>
      <cdr:y>0.31606</cdr:y>
    </cdr:to>
    <cdr:pic>
      <cdr:nvPicPr>
        <cdr:cNvPr id="3" name="Graphic 2" descr="Marker with solid fill">
          <a:extLst xmlns:a="http://schemas.openxmlformats.org/drawingml/2006/main">
            <a:ext uri="{FF2B5EF4-FFF2-40B4-BE49-F238E27FC236}">
              <a16:creationId xmlns:a16="http://schemas.microsoft.com/office/drawing/2014/main" id="{4FE1DBBE-1E5D-BA7A-0124-A5F438E7C96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78440" y="0"/>
          <a:ext cx="835960" cy="683559"/>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0.04777</cdr:x>
      <cdr:y>5.01342E-7</cdr:y>
    </cdr:from>
    <cdr:to>
      <cdr:x>0.25644</cdr:x>
      <cdr:y>0.24719</cdr:y>
    </cdr:to>
    <cdr:pic>
      <cdr:nvPicPr>
        <cdr:cNvPr id="3" name="Graphic 2" descr="Gender with solid fill">
          <a:extLst xmlns:a="http://schemas.openxmlformats.org/drawingml/2006/main">
            <a:ext uri="{FF2B5EF4-FFF2-40B4-BE49-F238E27FC236}">
              <a16:creationId xmlns:a16="http://schemas.microsoft.com/office/drawing/2014/main" id="{76BB015F-3736-5783-24AF-6EBF7A732E3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70328" y="1"/>
          <a:ext cx="744072" cy="493060"/>
        </a:xfrm>
        <a:prstGeom xmlns:a="http://schemas.openxmlformats.org/drawingml/2006/main" prst="rect">
          <a:avLst/>
        </a:prstGeom>
      </cdr:spPr>
    </cdr:pic>
  </cdr:relSizeAnchor>
</c:userShapes>
</file>

<file path=xl/drawings/drawing6.xml><?xml version="1.0" encoding="utf-8"?>
<c:userShapes xmlns:c="http://schemas.openxmlformats.org/drawingml/2006/chart">
  <cdr:relSizeAnchor xmlns:cdr="http://schemas.openxmlformats.org/drawingml/2006/chartDrawing">
    <cdr:from>
      <cdr:x>0</cdr:x>
      <cdr:y>0.03093</cdr:y>
    </cdr:from>
    <cdr:to>
      <cdr:x>0.25823</cdr:x>
      <cdr:y>0.20103</cdr:y>
    </cdr:to>
    <cdr:pic>
      <cdr:nvPicPr>
        <cdr:cNvPr id="3" name="Graphic 2" descr="List with solid fill">
          <a:extLst xmlns:a="http://schemas.openxmlformats.org/drawingml/2006/main">
            <a:ext uri="{FF2B5EF4-FFF2-40B4-BE49-F238E27FC236}">
              <a16:creationId xmlns:a16="http://schemas.microsoft.com/office/drawing/2014/main" id="{14A39345-48A9-29D3-D569-CA409C55F3B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0" y="67235"/>
          <a:ext cx="914400" cy="369794"/>
        </a:xfrm>
        <a:prstGeom xmlns:a="http://schemas.openxmlformats.org/drawingml/2006/main" prst="rect">
          <a:avLst/>
        </a:prstGeom>
      </cdr:spPr>
    </cdr:pic>
  </cdr:relSizeAnchor>
</c:userShapes>
</file>

<file path=xl/drawings/drawing7.xml><?xml version="1.0" encoding="utf-8"?>
<c:userShapes xmlns:c="http://schemas.openxmlformats.org/drawingml/2006/chart">
  <cdr:relSizeAnchor xmlns:cdr="http://schemas.openxmlformats.org/drawingml/2006/chartDrawing">
    <cdr:from>
      <cdr:x>0</cdr:x>
      <cdr:y>0.0614</cdr:y>
    </cdr:from>
    <cdr:to>
      <cdr:x>0.27092</cdr:x>
      <cdr:y>0.35965</cdr:y>
    </cdr:to>
    <cdr:pic>
      <cdr:nvPicPr>
        <cdr:cNvPr id="3" name="Graphic 2" descr="Group of people with solid fill">
          <a:extLst xmlns:a="http://schemas.openxmlformats.org/drawingml/2006/main">
            <a:ext uri="{FF2B5EF4-FFF2-40B4-BE49-F238E27FC236}">
              <a16:creationId xmlns:a16="http://schemas.microsoft.com/office/drawing/2014/main" id="{F9B74386-49A6-85E2-7414-D818A675983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0" y="78441"/>
          <a:ext cx="914400" cy="381000"/>
        </a:xfrm>
        <a:prstGeom xmlns:a="http://schemas.openxmlformats.org/drawingml/2006/main" prst="rect">
          <a:avLst/>
        </a:prstGeom>
      </cdr:spPr>
    </cdr:pic>
  </cdr:relSizeAnchor>
</c:userShapes>
</file>

<file path=xl/drawings/drawing8.xml><?xml version="1.0" encoding="utf-8"?>
<c:userShapes xmlns:c="http://schemas.openxmlformats.org/drawingml/2006/chart">
  <cdr:relSizeAnchor xmlns:cdr="http://schemas.openxmlformats.org/drawingml/2006/chartDrawing">
    <cdr:from>
      <cdr:x>0.0412</cdr:x>
      <cdr:y>7.13911E-7</cdr:y>
    </cdr:from>
    <cdr:to>
      <cdr:x>0.28464</cdr:x>
      <cdr:y>0.312</cdr:y>
    </cdr:to>
    <cdr:pic>
      <cdr:nvPicPr>
        <cdr:cNvPr id="3" name="Graphic 2" descr="Money with solid fill">
          <a:extLst xmlns:a="http://schemas.openxmlformats.org/drawingml/2006/main">
            <a:ext uri="{FF2B5EF4-FFF2-40B4-BE49-F238E27FC236}">
              <a16:creationId xmlns:a16="http://schemas.microsoft.com/office/drawing/2014/main" id="{ACBB0AF3-721B-6CE9-C1F6-93B9668A3EF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23266" y="1"/>
          <a:ext cx="728382" cy="437028"/>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0.802620833332" createdVersion="8" refreshedVersion="8" minRefreshableVersion="3" recordCount="487" xr:uid="{B5D74A43-3FE3-4FFB-902B-805FA11A9AC9}">
  <cacheSource type="worksheet">
    <worksheetSource name="Table1"/>
  </cacheSource>
  <cacheFields count="12">
    <cacheField name="emp_id" numFmtId="0">
      <sharedItems count="487">
        <s v="EMP1000"/>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 v="EMP1150"/>
        <s v="EMP1151"/>
        <s v="EMP1152"/>
        <s v="EMP1153"/>
        <s v="EMP1154"/>
        <s v="EMP1155"/>
        <s v="EMP1156"/>
        <s v="EMP1157"/>
        <s v="EMP1158"/>
        <s v="EMP1159"/>
        <s v="EMP1160"/>
        <s v="EMP1161"/>
        <s v="EMP1162"/>
        <s v="EMP1163"/>
        <s v="EMP1164"/>
        <s v="EMP1165"/>
        <s v="EMP1166"/>
        <s v="EMP1167"/>
        <s v="EMP1168"/>
        <s v="EMP1169"/>
        <s v="EMP1170"/>
        <s v="EMP1171"/>
        <s v="EMP1172"/>
        <s v="EMP1173"/>
        <s v="EMP1174"/>
        <s v="EMP1175"/>
        <s v="EMP1176"/>
        <s v="EMP1177"/>
        <s v="EMP1178"/>
        <s v="EMP1179"/>
        <s v="EMP1180"/>
        <s v="EMP1181"/>
        <s v="EMP1182"/>
        <s v="EMP1183"/>
        <s v="EMP1184"/>
        <s v="EMP1185"/>
        <s v="EMP1186"/>
        <s v="EMP1187"/>
        <s v="EMP1188"/>
        <s v="EMP1189"/>
        <s v="EMP1190"/>
        <s v="EMP1191"/>
        <s v="EMP1192"/>
        <s v="EMP1193"/>
        <s v="EMP1194"/>
        <s v="EMP1195"/>
        <s v="EMP1196"/>
        <s v="EMP1197"/>
        <s v="EMP1198"/>
        <s v="EMP1199"/>
        <s v="EMP1200"/>
        <s v="EMP1201"/>
        <s v="EMP1202"/>
        <s v="EMP1203"/>
        <s v="EMP1204"/>
        <s v="EMP1205"/>
        <s v="EMP1206"/>
        <s v="EMP1207"/>
        <s v="EMP1208"/>
        <s v="EMP1209"/>
        <s v="EMP1210"/>
        <s v="EMP1211"/>
        <s v="EMP1212"/>
        <s v="EMP1213"/>
        <s v="EMP1214"/>
        <s v="EMP1215"/>
        <s v="EMP1216"/>
        <s v="EMP1217"/>
        <s v="EMP1218"/>
        <s v="EMP1219"/>
        <s v="EMP1220"/>
        <s v="EMP1221"/>
        <s v="EMP1222"/>
        <s v="EMP1223"/>
        <s v="EMP1224"/>
        <s v="EMP1225"/>
        <s v="EMP1226"/>
        <s v="EMP1227"/>
        <s v="EMP1228"/>
        <s v="EMP1229"/>
        <s v="EMP1230"/>
        <s v="EMP1231"/>
        <s v="EMP1232"/>
        <s v="EMP1233"/>
        <s v="EMP1234"/>
        <s v="EMP1235"/>
        <s v="EMP1236"/>
        <s v="EMP1237"/>
        <s v="EMP1238"/>
        <s v="EMP1239"/>
        <s v="EMP1240"/>
        <s v="EMP1241"/>
        <s v="EMP1242"/>
        <s v="EMP1243"/>
        <s v="EMP1244"/>
        <s v="EMP1245"/>
        <s v="EMP1246"/>
        <s v="EMP1247"/>
        <s v="EMP1248"/>
        <s v="EMP1249"/>
        <s v="EMP1250"/>
        <s v="EMP1251"/>
        <s v="EMP1252"/>
        <s v="EMP1253"/>
        <s v="EMP1254"/>
        <s v="EMP1255"/>
        <s v="EMP1256"/>
        <s v="EMP1257"/>
        <s v="EMP1258"/>
        <s v="EMP1259"/>
        <s v="EMP1260"/>
        <s v="EMP1261"/>
        <s v="EMP1262"/>
        <s v="EMP1263"/>
        <s v="EMP1264"/>
        <s v="EMP1265"/>
        <s v="EMP1266"/>
        <s v="EMP1267"/>
        <s v="EMP1268"/>
        <s v="EMP1269"/>
        <s v="EMP1270"/>
        <s v="EMP1271"/>
        <s v="EMP1272"/>
        <s v="EMP1273"/>
        <s v="EMP1274"/>
        <s v="EMP1275"/>
        <s v="EMP1276"/>
        <s v="EMP1277"/>
        <s v="EMP1278"/>
        <s v="EMP1279"/>
        <s v="EMP1280"/>
        <s v="EMP1281"/>
        <s v="EMP1282"/>
        <s v="EMP1283"/>
        <s v="EMP1284"/>
        <s v="EMP1285"/>
        <s v="EMP1286"/>
        <s v="EMP1287"/>
        <s v="EMP1288"/>
        <s v="EMP1289"/>
        <s v="EMP1290"/>
        <s v="EMP1291"/>
        <s v="EMP1292"/>
        <s v="EMP1293"/>
        <s v="EMP1294"/>
        <s v="EMP1295"/>
        <s v="EMP1296"/>
        <s v="EMP1297"/>
        <s v="EMP1298"/>
        <s v="EMP1299"/>
        <s v="EMP1300"/>
        <s v="EMP1301"/>
        <s v="EMP1302"/>
        <s v="EMP1303"/>
        <s v="EMP1304"/>
        <s v="EMP1305"/>
        <s v="EMP1306"/>
        <s v="EMP1307"/>
        <s v="EMP1308"/>
        <s v="EMP1309"/>
        <s v="EMP1310"/>
        <s v="EMP1311"/>
        <s v="EMP1312"/>
        <s v="EMP1313"/>
        <s v="EMP1314"/>
        <s v="EMP1315"/>
        <s v="EMP1316"/>
        <s v="EMP1317"/>
        <s v="EMP1318"/>
        <s v="EMP1319"/>
        <s v="EMP1320"/>
        <s v="EMP1321"/>
        <s v="EMP1322"/>
        <s v="EMP1323"/>
        <s v="EMP1324"/>
        <s v="EMP1325"/>
        <s v="EMP1326"/>
        <s v="EMP1327"/>
        <s v="EMP1328"/>
        <s v="EMP1329"/>
        <s v="EMP1330"/>
        <s v="EMP1331"/>
        <s v="EMP1332"/>
        <s v="EMP1333"/>
        <s v="EMP1334"/>
        <s v="EMP1335"/>
        <s v="EMP1336"/>
        <s v="EMP1337"/>
        <s v="EMP1338"/>
        <s v="EMP1339"/>
        <s v="EMP1340"/>
        <s v="EMP1341"/>
        <s v="EMP1342"/>
        <s v="EMP1343"/>
        <s v="EMP1344"/>
        <s v="EMP1345"/>
        <s v="EMP1346"/>
        <s v="EMP1347"/>
        <s v="EMP1348"/>
        <s v="EMP1349"/>
        <s v="EMP1350"/>
        <s v="EMP1351"/>
        <s v="EMP1352"/>
        <s v="EMP1353"/>
        <s v="EMP1354"/>
        <s v="EMP1355"/>
        <s v="EMP1356"/>
        <s v="EMP1357"/>
        <s v="EMP1358"/>
        <s v="EMP1359"/>
        <s v="EMP1360"/>
        <s v="EMP1361"/>
        <s v="EMP1362"/>
        <s v="EMP1363"/>
        <s v="EMP1364"/>
        <s v="EMP1365"/>
        <s v="EMP1366"/>
        <s v="EMP1367"/>
        <s v="EMP1368"/>
        <s v="EMP1369"/>
        <s v="EMP1370"/>
        <s v="EMP1371"/>
        <s v="EMP1372"/>
        <s v="EMP1373"/>
        <s v="EMP1374"/>
        <s v="EMP1375"/>
        <s v="EMP1376"/>
        <s v="EMP1377"/>
        <s v="EMP1378"/>
        <s v="EMP1379"/>
        <s v="EMP1380"/>
        <s v="EMP1381"/>
        <s v="EMP1382"/>
        <s v="EMP1383"/>
        <s v="EMP1384"/>
        <s v="EMP1385"/>
        <s v="EMP1386"/>
        <s v="EMP1387"/>
        <s v="EMP1388"/>
        <s v="EMP1389"/>
        <s v="EMP1390"/>
        <s v="EMP1391"/>
        <s v="EMP1392"/>
        <s v="EMP1393"/>
        <s v="EMP1394"/>
        <s v="EMP1395"/>
        <s v="EMP1396"/>
        <s v="EMP1397"/>
        <s v="EMP1398"/>
        <s v="EMP1399"/>
        <s v="EMP1400"/>
        <s v="EMP1401"/>
        <s v="EMP1402"/>
        <s v="EMP1403"/>
        <s v="EMP1404"/>
        <s v="EMP1405"/>
        <s v="EMP1406"/>
        <s v="EMP1407"/>
        <s v="EMP1408"/>
        <s v="EMP1409"/>
        <s v="EMP1410"/>
        <s v="EMP1411"/>
        <s v="EMP1412"/>
        <s v="EMP1413"/>
        <s v="EMP1414"/>
        <s v="EMP1415"/>
        <s v="EMP1416"/>
        <s v="EMP1417"/>
        <s v="EMP1418"/>
        <s v="EMP1419"/>
        <s v="EMP1420"/>
        <s v="EMP1421"/>
        <s v="EMP1422"/>
        <s v="EMP1423"/>
        <s v="EMP1424"/>
        <s v="EMP1425"/>
        <s v="EMP1426"/>
        <s v="EMP1427"/>
        <s v="EMP1428"/>
        <s v="EMP1429"/>
        <s v="EMP1430"/>
        <s v="EMP1431"/>
        <s v="EMP1432"/>
        <s v="EMP1433"/>
        <s v="EMP1434"/>
        <s v="EMP1435"/>
        <s v="EMP1436"/>
        <s v="EMP1437"/>
        <s v="EMP1438"/>
        <s v="EMP1439"/>
        <s v="EMP1440"/>
        <s v="EMP1441"/>
        <s v="EMP1442"/>
        <s v="EMP1443"/>
        <s v="EMP1444"/>
        <s v="EMP1445"/>
        <s v="EMP1446"/>
        <s v="EMP1447"/>
        <s v="EMP1448"/>
        <s v="EMP1449"/>
        <s v="EMP1450"/>
        <s v="EMP1451"/>
        <s v="EMP1452"/>
        <s v="EMP1453"/>
        <s v="EMP1454"/>
        <s v="EMP1455"/>
        <s v="EMP1456"/>
        <s v="EMP1457"/>
        <s v="EMP1458"/>
        <s v="EMP1459"/>
        <s v="EMP1460"/>
        <s v="EMP1461"/>
        <s v="EMP1462"/>
        <s v="EMP1463"/>
        <s v="EMP1464"/>
        <s v="EMP1465"/>
        <s v="EMP1466"/>
        <s v="EMP1467"/>
        <s v="EMP1468"/>
        <s v="EMP1469"/>
        <s v="EMP1470"/>
        <s v="EMP1471"/>
        <s v="EMP1472"/>
        <s v="EMP1473"/>
        <s v="EMP1474"/>
        <s v="EMP1475"/>
        <s v="EMP1476"/>
        <s v="EMP1477"/>
        <s v="EMP1478"/>
        <s v="EMP1479"/>
        <s v="EMP1480"/>
        <s v="EMP1481"/>
        <s v="EMP1482"/>
        <s v="EMP1483"/>
        <s v="EMP1484"/>
        <s v="EMP1485"/>
        <s v="EMP1486"/>
      </sharedItems>
    </cacheField>
    <cacheField name="name" numFmtId="0">
      <sharedItems count="486">
        <s v="Divit Varkey"/>
        <s v="Veer Varughese"/>
        <s v="Ishita Chakrabarti"/>
        <s v="Madhup Shroff"/>
        <s v="Hansh Date"/>
        <s v="Mohanlal Iyengar"/>
        <s v="Pari Dewan"/>
        <s v="Zoya Sankar"/>
        <s v="Hridaan Chander"/>
        <s v="Kavya Soni"/>
        <s v="Abram Joshi"/>
        <s v="Rati Bhatti"/>
        <s v="Rhea Ramaswamy"/>
        <s v="Zaina Bahri"/>
        <s v="Priyansh Bhavsar"/>
        <s v="Diya Srinivas"/>
        <s v="Zaina Chokshi"/>
        <s v="Dharmajan Borde"/>
        <s v="Bhavin Borah"/>
        <s v="Saanvi Jani"/>
        <s v="Siya Sawhney"/>
        <s v="Tarini Chaudry"/>
        <s v="Aarna Madan"/>
        <s v="Zeeshan Seth"/>
        <s v="Anya Bedi"/>
        <s v="Yashvi Mani"/>
        <s v="Manikya Comar"/>
        <s v="Kavya Bawa"/>
        <s v="Reyansh Chander"/>
        <s v="Dishani Mangal"/>
        <s v="Zara Sani"/>
        <s v="Stuvan Kata"/>
        <s v="Aniruddh Sant"/>
        <s v="Mahika Hari"/>
        <s v="Bhavin Sastry"/>
        <s v="Anya Dhar"/>
        <s v="Nayantara Brahmbhatt"/>
        <s v="Ritvik Amble"/>
        <s v="Vedika Yadav"/>
        <s v="Neysa Khatri"/>
        <s v="Inaaya  Karpe"/>
        <s v="Saira Apte"/>
        <s v="Zara Rana"/>
        <s v="Dhanuk Sridhar"/>
        <s v="Umang Kapur"/>
        <s v="Kismat Mander"/>
        <s v="Akarsh Bedi"/>
        <s v="Prisha Karpe"/>
        <s v="Veer Sachdeva"/>
        <s v="Mishti Bir"/>
        <s v="Rohan Sarraf"/>
        <s v="Aarna Grewal"/>
        <s v="Fateh Singh"/>
        <s v="Vritika Walla"/>
        <s v="Kanav Ratta"/>
        <s v="Badal Goswami"/>
        <s v="Vanya Sengupta"/>
        <s v="Shamik Bhavsar"/>
        <s v="Kismat Arora"/>
        <s v="Tarini Loyal"/>
        <s v="Emir Sastry"/>
        <s v="Zoya Tandon"/>
        <s v="Mannat Banerjee"/>
        <s v="Adah Sridhar"/>
        <s v="Anaya Salvi"/>
        <s v="Rania Saraf"/>
        <s v="Aradhya Mann"/>
        <s v="Charvi Cherian"/>
        <s v="Bhamini Mangat"/>
        <s v="Kanav Borde"/>
        <s v="Anya Grover"/>
        <s v="Jivika Zachariah"/>
        <s v="Farhan Keer"/>
        <s v="Saksham Dua"/>
        <s v="Vanya Bajaj"/>
        <s v="Ishita Wali"/>
        <s v="Ritvik Balakrishnan"/>
        <s v="Zoya Mane"/>
        <s v="Abram Hegde"/>
        <s v="Arhaan Lalla"/>
        <s v="Dhruv Karan"/>
        <s v="Dhruv Kadakia"/>
        <s v="Hrishita Chakrabarti"/>
        <s v="Kanav Barad"/>
        <s v="Aaryahi Kapoor"/>
        <s v="Miraya Chatterjee"/>
        <s v="Akarsh Kashyap"/>
        <s v="Riaan Sahni"/>
        <s v="Yakshit Vig"/>
        <s v="Shaan Mangal"/>
        <s v="Aarna Bhagat"/>
        <s v="Charvi Gara"/>
        <s v="Shamik Bera"/>
        <s v="Miraya Saini"/>
        <s v="Jayan Chakraborty"/>
        <s v="Lakshit Dhaliwal"/>
        <s v="Rohan Dass"/>
        <s v="Tara Kalla"/>
        <s v="Lakshit Madan"/>
        <s v="Adah Iyengar"/>
        <s v="Stuvan Master"/>
        <s v="Jhanvi Lalla"/>
        <s v="Vedika Guha"/>
        <s v="Tanya Char"/>
        <s v="Darshit Subramanian"/>
        <s v="Hansh Virk"/>
        <s v="Vidur Char"/>
        <s v="Kartik Kara"/>
        <s v="Anahi Mander"/>
        <s v="Taran Gaba"/>
        <s v="Hunar Shukla"/>
        <s v="Aaryahi Bhatt"/>
        <s v="Oorja Bahri"/>
        <s v="Vritika Suresh"/>
        <s v="Nehmat Bajwa"/>
        <s v="Priyansh Srivastava"/>
        <s v="Armaan Walia"/>
        <s v="Vivaan Sibal"/>
        <s v="Jayant Bhatti"/>
        <s v="Akarsh Ram"/>
        <s v="Misha Rajagopal"/>
        <s v="Drishya Amble"/>
        <s v="Mishti Grover"/>
        <s v="Vritika Trivedi"/>
        <s v="Kabir Mani"/>
        <s v="Vanya Kulkarni"/>
        <s v="Aniruddh Sathe"/>
        <s v="Aarna Barad"/>
        <s v="Jiya Comar"/>
        <s v="Vidur Mahajan"/>
        <s v="Ehsaan Raju"/>
        <s v="Zain Karan"/>
        <s v="Aarna Bawa"/>
        <s v="Saksham Rastogi"/>
        <s v="Nirvi Dutt"/>
        <s v="Armaan Saran"/>
        <s v="Myra Atwal"/>
        <s v="Gatik Kanda"/>
        <s v="Aarush Jani"/>
        <s v="Baiju Sandal"/>
        <s v="Krish Agate"/>
        <s v="Onkar Sarin"/>
        <s v="Zaina Dutta"/>
        <s v="Vaibhav Yogi"/>
        <s v="Kanav Setty"/>
        <s v="Saanvi Gulati"/>
        <s v="Tiya Sarna"/>
        <s v="Aradhya Bhasin"/>
        <s v="Alisha Baral"/>
        <s v="Dhanush Walla"/>
        <s v="Dhanush Soman"/>
        <s v="Mamooty Gade"/>
        <s v="Seher Rao"/>
        <s v="Diya Datta"/>
        <s v="Miraya Cherian"/>
        <s v="Lakshay Mannan"/>
        <s v="Rasha Acharya"/>
        <s v="Vaibhav Hegde"/>
        <s v="Ryan Goyal"/>
        <s v="Tarini Gupta"/>
        <s v="Anahita Bhavsar"/>
        <s v="Anya Bir"/>
        <s v="Tiya Varty"/>
        <s v="Emir Dixit"/>
        <s v="Navya Biswas"/>
        <s v="Purab Sarin"/>
        <s v="Urvi Borra"/>
        <s v="Aarush Sur"/>
        <s v="Lagan Grover"/>
        <s v="Aarna Gandhi"/>
        <s v="Ira Lad"/>
        <s v="Zeeshan Kumer"/>
        <s v="Pihu Ghosh"/>
        <s v="Manikya Banerjee"/>
        <s v="Manjari Butala"/>
        <s v="Madhup Hans"/>
        <s v="Shray Loyal"/>
        <s v="Hansh Hari"/>
        <s v="Aaryahi Saini"/>
        <s v="Kavya Dugar"/>
        <s v="Tejas Raja"/>
        <s v="Ritvik Chacko"/>
        <s v="Jayant Chandra"/>
        <s v="Sara Thaker"/>
        <s v="Indranil Talwar"/>
        <s v="Armaan Dara"/>
        <s v="Parinaaz Subramanian"/>
        <s v="Rania Kaul"/>
        <s v="Zara Khosla"/>
        <s v="Tara Malhotra"/>
        <s v="Gatik Bora"/>
        <s v="Ehsaan Bumb"/>
        <s v="Kabir Wagle"/>
        <s v="Advik Chawla"/>
        <s v="Dhanuk Bajwa"/>
        <s v="Hunar Mammen"/>
        <s v="Uthkarsh Singhal"/>
        <s v="Eva Tara"/>
        <s v="Alia Tata"/>
        <s v="Nayantara Varghese"/>
        <s v="Saanvi Bath"/>
        <s v="Anahita Khalsa"/>
        <s v="Samiha Chander"/>
        <s v="Advik Rau"/>
        <s v="Myra Zacharia"/>
        <s v="Trisha Mani"/>
        <s v="Shray Konda"/>
        <s v="Shray Khare"/>
        <s v="Navya Shah"/>
        <s v="Kabir Borah"/>
        <s v="Anaya Biswas"/>
        <s v="Hiran Maharaj"/>
        <s v="Devansh Krish"/>
        <s v="Dhanuk Bawa"/>
        <s v="Rania Loyal"/>
        <s v="Farhan Jhaveri"/>
        <s v="Stuvan Rout"/>
        <s v="Madhup Gera"/>
        <s v="Uthkarsh Chokshi"/>
        <s v="Pranay Gupta"/>
        <s v="Ivan Shan"/>
        <s v="Ishita Dar"/>
        <s v="Tarini Trivedi"/>
        <s v="Tanya Badal"/>
        <s v="Vidur Lall"/>
        <s v="Amani Chander"/>
        <s v="Bhamini Sagar"/>
        <s v="Baiju Jani"/>
        <s v="Jayan Viswanathan"/>
        <s v="Emir Khare"/>
        <s v="Samarth Gandhi"/>
        <s v="Rohan Kunda"/>
        <s v="Raunak Devi"/>
        <s v="Manjari Toor"/>
        <s v="Tiya Yohannan"/>
        <s v="Aniruddh Singhal"/>
        <s v="Navya Lalla"/>
        <s v="Madhav Kibe"/>
        <s v="Nehmat Chana"/>
        <s v="Neelofar Goswami"/>
        <s v="Alia Sarkar"/>
        <s v="Emir Seshadri"/>
        <s v="Yashvi Karnik"/>
        <s v="Shray Boase"/>
        <s v="Chirag Khalsa"/>
        <s v="Ishita Dhawan"/>
        <s v="Dhanush Sharma"/>
        <s v="Ivana Swamy"/>
        <s v="Ishita Bera"/>
        <s v="Samiha Subramaniam"/>
        <s v="Zeeshan Sankar"/>
        <s v="Mamooty Zachariah"/>
        <s v="Onkar Chauhan"/>
        <s v="Ivan Char"/>
        <s v="Khushi Balakrishnan"/>
        <s v="Fateh Gill"/>
        <s v="Ranbir Vyas"/>
        <s v="Emir Bal"/>
        <s v="Neelofar Dutta"/>
        <s v="Baiju Kanda"/>
        <s v="Dhanuk Kaul"/>
        <s v="Saksham Garg"/>
        <s v="Adira Barad"/>
        <s v="Priyansh Devi"/>
        <s v="Siya Kashyap"/>
        <s v="Shalv Bajwa"/>
        <s v="Saanvi Raju"/>
        <s v="Hansh Lala"/>
        <s v="Zara Ranganathan"/>
        <s v="Ranbir Arya"/>
        <s v="Shalv Sankar"/>
        <s v="Onkar Edwin"/>
        <s v="Vedika Khatri"/>
        <s v="Navya Date"/>
        <s v="Jivin Grover"/>
        <s v="Zain Bahri"/>
        <s v="Advik Gara"/>
        <s v="Advika Kunda"/>
        <s v="Umang Atwal"/>
        <s v="Shayak Chada"/>
        <s v="Tara Sen"/>
        <s v="Taimur Kadakia"/>
        <s v="Lagan Lala"/>
        <s v="Armaan Dhar"/>
        <s v="Vanya Wason"/>
        <s v="Khushi Som"/>
        <s v="Sumer Hora"/>
        <s v="Uthkarsh Rattan"/>
        <s v="Nishith Bandi"/>
        <s v="Anvi Saraf"/>
        <s v="Vidur Baria"/>
        <s v="Faiyaz Gade"/>
        <s v="Vritika Karpe"/>
        <s v="Ritvik Bandi"/>
        <s v="Anaya Anand"/>
        <s v="Vanya Hegde"/>
        <s v="Aradhya Raman"/>
        <s v="Faiyaz Dyal"/>
        <s v="Pranay Din"/>
        <s v="Vardaniya Lal"/>
        <s v="Nehmat Goswami"/>
        <s v="Amira Raman"/>
        <s v="Anvi Bhatt"/>
        <s v="Ranbir Barman"/>
        <s v="Jiya Rajagopal"/>
        <s v="Rasha Tata"/>
        <s v="Zaina Hayre"/>
        <s v="Azad Chaudhary"/>
        <s v="Pihu Sarna"/>
        <s v="Ritvik Shetty"/>
        <s v="Suhana Vohra"/>
        <s v="Aaryahi Gala"/>
        <s v="Vardaniya Sankar"/>
        <s v="Shamik Chacko"/>
        <s v="Prerak Dass"/>
        <s v="Nehmat Master"/>
        <s v="Reyansh Bhardwaj"/>
        <s v="Faiyaz Sha"/>
        <s v="Pari Yohannan"/>
        <s v="Hiran Cherian"/>
        <s v="Jivin Sabharwal"/>
        <s v="Khushi Setty"/>
        <s v="Rania Sethi"/>
        <s v="Arnav Khare"/>
        <s v="Samaira Rege"/>
        <s v="Ojas Wadhwa"/>
        <s v="Onkar Chopra"/>
        <s v="Misha Venkataraman"/>
        <s v="Hrishita Barad"/>
        <s v="Mishti Deol"/>
        <s v="Mamooty Chaudry"/>
        <s v="Tiya Choudhary"/>
        <s v="Aaryahi Dora"/>
        <s v="Emir Reddy"/>
        <s v="Rania Upadhyay"/>
        <s v="Navya Sekhon"/>
        <s v="Vanya Zacharia"/>
        <s v="Ojas Kibe"/>
        <s v="Seher Bedi"/>
        <s v="Drishya Sama"/>
        <s v="Renee Sarin"/>
        <s v="Krish Basu"/>
        <s v="Jivika Ravel"/>
        <s v="Tejas Varma"/>
        <s v="Renee Keer"/>
        <s v="Rati Mahal"/>
        <s v="Anya Baral"/>
        <s v="Inaaya  Cherian"/>
        <s v="Drishya Thaker"/>
        <s v="Prisha Krishnan"/>
        <s v="Anay Lata"/>
        <s v="Abram Sachar"/>
        <s v="Ivana Aggarwal"/>
        <s v="Anay Keer"/>
        <s v="Samiha Yohannan"/>
        <s v="Baiju Dhar"/>
        <s v="Shamik Dash"/>
        <s v="Anvi Saran"/>
        <s v="Aradhya Rana"/>
        <s v="Azad Deep"/>
        <s v="Jayesh Brar"/>
        <s v="Hazel Dhar"/>
        <s v="Damini Dhawan"/>
        <s v="Nehmat Ghosh"/>
        <s v="Ehsaan Rege"/>
        <s v="Veer Bahl"/>
        <s v="Neysa Rau"/>
        <s v="Azad Lata"/>
        <s v="Devansh Banerjee"/>
        <s v="Prisha Karnik"/>
        <s v="Purab Butala"/>
        <s v="Siya Trivedi"/>
        <s v="Pari Babu"/>
        <s v="Dhanush Shenoy"/>
        <s v="Uthkarsh Dhar"/>
        <s v="Vivaan Anne"/>
        <s v="Lavanya Bhasin"/>
        <s v="Amira Ahuja"/>
        <s v="Nishith Gade"/>
        <s v="Dharmajan Koshy"/>
        <s v="Miraya Ghosh"/>
        <s v="Anahita Tara"/>
        <s v="Dhanush Maharaj"/>
        <s v="Hridaan Lall"/>
        <s v="Shaan Sankar"/>
        <s v="Pranay Ramakrishnan"/>
        <s v="Hansh Bora"/>
        <s v="Zaina Bhasin"/>
        <s v="Romil Khurana"/>
        <s v="Kiara Kannan"/>
        <s v="Amani Lanka"/>
        <s v="Farhan Borde"/>
        <s v="Biju Dube"/>
        <s v="Jiya Sant"/>
        <s v="Vardaniya Wali"/>
        <s v="Hridaan Sachar"/>
        <s v="Miraya Chahal"/>
        <s v="Yasmin Kohli"/>
        <s v="Devansh Ramanathan"/>
        <s v="Bhavin Dayal"/>
        <s v="Taimur Mall"/>
        <s v="Uthkarsh Bhakta"/>
        <s v="Kabir Sangha"/>
        <s v="Seher Soman"/>
        <s v="Shalv Ranganathan"/>
        <s v="Mahika Varghese"/>
        <s v="Samaira Baral"/>
        <s v="Renee Doctor"/>
        <s v="Mannat Kurian"/>
        <s v="Ivana Sane"/>
        <s v="Jivika Dass"/>
        <s v="Lakshay Loyal"/>
        <s v="Lakshit Baral"/>
        <s v="Shray Char"/>
        <s v="Tiya Tak"/>
        <s v="Ritvik Karan"/>
        <s v="Ahana  Sama"/>
        <s v="Ojas Jayaraman"/>
        <s v="Yakshit Kulkarni"/>
        <s v="Farhan Amble"/>
        <s v="Faiyaz Babu"/>
        <s v="Aradhya Deo"/>
        <s v="Ritvik Upadhyay"/>
        <s v="Kismat Majumdar"/>
        <s v="Shanaya Saini"/>
        <s v="Nehmat Sani"/>
        <s v="Elakshi Sule"/>
        <s v="Ishita Sachdeva"/>
        <s v="Amani Krish"/>
        <s v="Rati Vaidya"/>
        <s v="Indranil Deo"/>
        <s v="Heer Dara"/>
        <s v="Dhanuk Bala"/>
        <s v="Anvi Khatri"/>
        <s v="Shray Kibe"/>
        <s v="Suhana Viswanathan"/>
        <s v="Kimaya Balan"/>
        <s v="Misha Choudhary"/>
        <s v="Aarav Manne"/>
        <s v="Devansh Gupta"/>
        <s v="Kiaan Sarma"/>
        <s v="Tushar Borde"/>
        <s v="Amani Bassi"/>
        <s v="Rania Atwal"/>
        <s v="Nayantara Lata"/>
        <s v="Akarsh Bhatt"/>
        <s v="Anya Sharaf"/>
        <s v="Vaibhav Dixit"/>
        <s v="Dishani Dugar"/>
        <s v="Ishita Halder"/>
        <s v="Indrajit Gour"/>
        <s v="Nishith Kala"/>
        <s v="Umang Gopal"/>
        <s v="Vritika Randhawa"/>
        <s v="Aniruddh Ram"/>
        <s v="Farhan Sidhu"/>
        <s v="Jivin Setty"/>
        <s v="Aarav Shukla"/>
        <s v="Tiya Bal"/>
        <s v="Biju Madan"/>
        <s v="Divit Mann"/>
        <s v="Zoya Raval"/>
        <s v="Kiara Chadha"/>
        <s v="Jiya Krishna"/>
        <s v="Aaina Kalla"/>
        <s v="Vidur Chadha"/>
        <s v="Lakshit Bhatt"/>
        <s v="Anay Khare"/>
        <s v="Vardaniya Choudhury"/>
        <s v="Shlok Chaudry"/>
        <s v="Rasha Venkatesh"/>
        <s v="Neysa Bail"/>
        <s v="Nirvi Doshi"/>
        <s v="Lakshay Chandran"/>
        <s v="Faiyaz Bhandari"/>
        <s v="Zara Chada"/>
        <s v="Rati Tank"/>
        <s v="Kavya Kadakia"/>
        <s v="Sana Datta"/>
        <s v="Shalv Khatri"/>
        <s v="Vritika Sha"/>
        <s v="Mannat Sabharwal"/>
        <s v="Kimaya Soman"/>
        <s v="Arhaan Sengupta"/>
        <s v="Samaira Babu"/>
        <s v="Samarth Sengupta"/>
      </sharedItems>
    </cacheField>
    <cacheField name="age" numFmtId="0">
      <sharedItems containsSemiMixedTypes="0" containsString="0" containsNumber="1" containsInteger="1" minValue="18" maxValue="90" count="67">
        <n v="26"/>
        <n v="71"/>
        <n v="54"/>
        <n v="48"/>
        <n v="25"/>
        <n v="29"/>
        <n v="51"/>
        <n v="82"/>
        <n v="83"/>
        <n v="32"/>
        <n v="84"/>
        <n v="63"/>
        <n v="44"/>
        <n v="85"/>
        <n v="35"/>
        <n v="62"/>
        <n v="68"/>
        <n v="57"/>
        <n v="22"/>
        <n v="50"/>
        <n v="86"/>
        <n v="89"/>
        <n v="88"/>
        <n v="78"/>
        <n v="77"/>
        <n v="87"/>
        <n v="65"/>
        <n v="69"/>
        <n v="73"/>
        <n v="21"/>
        <n v="56"/>
        <n v="61"/>
        <n v="53"/>
        <n v="60"/>
        <n v="75"/>
        <n v="81"/>
        <n v="23"/>
        <n v="79"/>
        <n v="64"/>
        <n v="76"/>
        <n v="66"/>
        <n v="27"/>
        <n v="72"/>
        <n v="42"/>
        <n v="24"/>
        <n v="30"/>
        <n v="55"/>
        <n v="33"/>
        <n v="74"/>
        <n v="59"/>
        <n v="41"/>
        <n v="39"/>
        <n v="20"/>
        <n v="80"/>
        <n v="90"/>
        <n v="67"/>
        <n v="70"/>
        <n v="34"/>
        <n v="46"/>
        <n v="43"/>
        <n v="47"/>
        <n v="36"/>
        <n v="40"/>
        <n v="52"/>
        <n v="28"/>
        <n v="38"/>
        <n v="18"/>
      </sharedItems>
      <fieldGroup base="2">
        <rangePr startNum="18" endNum="90" groupInterval="15"/>
        <groupItems count="7">
          <s v="&lt;18"/>
          <s v="18-32"/>
          <s v="33-47"/>
          <s v="48-62"/>
          <s v="63-77"/>
          <s v="78-92"/>
          <s v="&gt;93"/>
        </groupItems>
      </fieldGroup>
    </cacheField>
    <cacheField name="salary" numFmtId="0">
      <sharedItems containsSemiMixedTypes="0" containsString="0" containsNumber="1" containsInteger="1" minValue="5000" maxValue="499193"/>
    </cacheField>
    <cacheField name="joining_date" numFmtId="14">
      <sharedItems containsSemiMixedTypes="0" containsNonDate="0" containsDate="1" containsString="0" minDate="2016-01-10T00:00:00" maxDate="2026-12-03T00:00:00"/>
    </cacheField>
    <cacheField name="email" numFmtId="0">
      <sharedItems/>
    </cacheField>
    <cacheField name="phone" numFmtId="0">
      <sharedItems containsSemiMixedTypes="0" containsString="0" containsNumber="1" containsInteger="1" minValue="9027" maxValue="9999678362"/>
    </cacheField>
    <cacheField name="department" numFmtId="0">
      <sharedItems count="5">
        <s v="Finance"/>
        <s v="Sales"/>
        <s v="HR"/>
        <s v="IT"/>
        <s v="Marketing"/>
      </sharedItems>
    </cacheField>
    <cacheField name="city" numFmtId="0">
      <sharedItems count="5">
        <s v="Kolkata"/>
        <s v="Mumbai"/>
        <s v="Chennai"/>
        <s v="Delhi"/>
        <s v="Bangalore"/>
      </sharedItems>
    </cacheField>
    <cacheField name="gender" numFmtId="0">
      <sharedItems count="2">
        <s v="Male"/>
        <s v="Female"/>
      </sharedItems>
    </cacheField>
    <cacheField name="performance_score" numFmtId="0">
      <sharedItems containsSemiMixedTypes="0" containsString="0" containsNumber="1" minValue="-2" maxValue="7" count="41">
        <n v="-2"/>
        <n v="7"/>
        <n v="2.7"/>
        <n v="3"/>
        <n v="4.4000000000000004"/>
        <n v="4.9000000000000004"/>
        <n v="1.4"/>
        <n v="4.3"/>
        <n v="2.2999999999999998"/>
        <n v="4.5999999999999996"/>
        <n v="4.8"/>
        <n v="3.4"/>
        <n v="1.3"/>
        <n v="3.2"/>
        <n v="1.6"/>
        <n v="2.2000000000000002"/>
        <n v="2"/>
        <n v="2.1"/>
        <n v="2.6"/>
        <n v="1"/>
        <n v="2.4"/>
        <n v="3.5"/>
        <n v="3.6"/>
        <n v="1.1000000000000001"/>
        <n v="3.9"/>
        <n v="4.2"/>
        <n v="3.7"/>
        <n v="3.8"/>
        <n v="3.3"/>
        <n v="4.5"/>
        <n v="1.9"/>
        <n v="2.8"/>
        <n v="1.7"/>
        <n v="1.5"/>
        <n v="2.5"/>
        <n v="5"/>
        <n v="1.8"/>
        <n v="4"/>
        <n v="3.1"/>
        <n v="4.0999999999999996"/>
        <n v="2.9"/>
      </sharedItems>
      <fieldGroup base="10">
        <rangePr startNum="-2" endNum="7"/>
        <groupItems count="11">
          <s v="&lt;-2"/>
          <s v="-2--1"/>
          <s v="-1-0"/>
          <s v="0-1"/>
          <s v="1-2"/>
          <s v="2-3"/>
          <s v="3-4"/>
          <s v="4-5"/>
          <s v="5-6"/>
          <s v="6-7"/>
          <s v="&gt;7"/>
        </groupItems>
      </fieldGroup>
    </cacheField>
    <cacheField name="Phone_clean" numFmtId="0">
      <sharedItems containsMixedTypes="1" containsNumber="1" containsInteger="1" minValue="1022121841" maxValue="9999678362"/>
    </cacheField>
  </cacheFields>
  <extLst>
    <ext xmlns:x14="http://schemas.microsoft.com/office/spreadsheetml/2009/9/main" uri="{725AE2AE-9491-48be-B2B4-4EB974FC3084}">
      <x14:pivotCacheDefinition pivotCacheId="6984317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7">
  <r>
    <x v="0"/>
    <x v="0"/>
    <x v="0"/>
    <n v="107970"/>
    <d v="2021-12-21T00:00:00"/>
    <s v="krishnaanahithakur@gmail.com"/>
    <n v="7460480880"/>
    <x v="0"/>
    <x v="0"/>
    <x v="0"/>
    <x v="0"/>
    <n v="7460480880"/>
  </r>
  <r>
    <x v="1"/>
    <x v="1"/>
    <x v="1"/>
    <n v="143886"/>
    <d v="2024-05-07T00:00:00"/>
    <s v="dewanyakshit@kala-hayre.com"/>
    <n v="935525834"/>
    <x v="1"/>
    <x v="0"/>
    <x v="1"/>
    <x v="0"/>
    <s v="Not Available"/>
  </r>
  <r>
    <x v="2"/>
    <x v="2"/>
    <x v="2"/>
    <n v="143886"/>
    <d v="2025-07-27T00:00:00"/>
    <s v="dhawanshlok@shah.com"/>
    <n v="6253828079"/>
    <x v="1"/>
    <x v="1"/>
    <x v="0"/>
    <x v="1"/>
    <n v="6253828079"/>
  </r>
  <r>
    <x v="3"/>
    <x v="3"/>
    <x v="3"/>
    <n v="5000"/>
    <d v="2022-12-08T00:00:00"/>
    <s v="lsandal@gmail.com"/>
    <n v="7057074413"/>
    <x v="1"/>
    <x v="2"/>
    <x v="0"/>
    <x v="1"/>
    <n v="7057074413"/>
  </r>
  <r>
    <x v="4"/>
    <x v="4"/>
    <x v="4"/>
    <n v="411454"/>
    <d v="2023-07-17T00:00:00"/>
    <s v="sanghakeya@shukla.com"/>
    <n v="5981537999"/>
    <x v="2"/>
    <x v="0"/>
    <x v="0"/>
    <x v="2"/>
    <n v="5981537999"/>
  </r>
  <r>
    <x v="5"/>
    <x v="5"/>
    <x v="4"/>
    <n v="52683"/>
    <d v="2026-01-27T00:00:00"/>
    <s v="vaibhav56@yahoo.com"/>
    <n v="5025010832"/>
    <x v="1"/>
    <x v="3"/>
    <x v="0"/>
    <x v="0"/>
    <n v="5025010832"/>
  </r>
  <r>
    <x v="6"/>
    <x v="6"/>
    <x v="5"/>
    <n v="5000"/>
    <d v="2024-10-24T00:00:00"/>
    <s v="neelofarthaker@gmail.com"/>
    <n v="6861269784"/>
    <x v="1"/>
    <x v="0"/>
    <x v="0"/>
    <x v="3"/>
    <n v="6861269784"/>
  </r>
  <r>
    <x v="7"/>
    <x v="7"/>
    <x v="2"/>
    <n v="5000"/>
    <d v="2021-04-17T00:00:00"/>
    <s v="chareshani@ratti.com"/>
    <n v="9151656580"/>
    <x v="1"/>
    <x v="1"/>
    <x v="0"/>
    <x v="2"/>
    <n v="9151656580"/>
  </r>
  <r>
    <x v="8"/>
    <x v="8"/>
    <x v="6"/>
    <n v="52227"/>
    <d v="2021-11-09T00:00:00"/>
    <s v="iaurora@balasubramanian-tandon.com"/>
    <n v="8481965550"/>
    <x v="0"/>
    <x v="3"/>
    <x v="0"/>
    <x v="4"/>
    <n v="8481965550"/>
  </r>
  <r>
    <x v="9"/>
    <x v="9"/>
    <x v="3"/>
    <n v="315540"/>
    <d v="2021-12-20T00:00:00"/>
    <s v="camble@gmail.com"/>
    <n v="1431187556"/>
    <x v="1"/>
    <x v="0"/>
    <x v="0"/>
    <x v="5"/>
    <n v="1431187556"/>
  </r>
  <r>
    <x v="10"/>
    <x v="10"/>
    <x v="3"/>
    <n v="43853"/>
    <d v="2019-01-31T00:00:00"/>
    <s v="ira97@yahoo.com"/>
    <n v="2130898001"/>
    <x v="1"/>
    <x v="3"/>
    <x v="1"/>
    <x v="0"/>
    <n v="2130898001"/>
  </r>
  <r>
    <x v="11"/>
    <x v="11"/>
    <x v="3"/>
    <n v="5000"/>
    <d v="2023-01-12T00:00:00"/>
    <s v="devanshmani@chacko-acharya.com"/>
    <n v="12456"/>
    <x v="1"/>
    <x v="0"/>
    <x v="0"/>
    <x v="0"/>
    <s v="Not Available"/>
  </r>
  <r>
    <x v="12"/>
    <x v="12"/>
    <x v="4"/>
    <n v="451636"/>
    <d v="2020-06-25T00:00:00"/>
    <s v="rmadan@hotmail.com"/>
    <n v="9223089225"/>
    <x v="1"/>
    <x v="0"/>
    <x v="0"/>
    <x v="1"/>
    <n v="9223089225"/>
  </r>
  <r>
    <x v="13"/>
    <x v="13"/>
    <x v="7"/>
    <n v="79439"/>
    <d v="2019-09-07T00:00:00"/>
    <s v="azadwarrior@yahoo.com"/>
    <n v="24608"/>
    <x v="0"/>
    <x v="0"/>
    <x v="0"/>
    <x v="1"/>
    <s v="Not Available"/>
  </r>
  <r>
    <x v="14"/>
    <x v="14"/>
    <x v="8"/>
    <n v="5000"/>
    <d v="2019-03-15T00:00:00"/>
    <s v="biswasmohanlal@gmail.com"/>
    <n v="3188567521"/>
    <x v="3"/>
    <x v="4"/>
    <x v="0"/>
    <x v="2"/>
    <n v="3188567521"/>
  </r>
  <r>
    <x v="15"/>
    <x v="15"/>
    <x v="3"/>
    <n v="52645"/>
    <d v="2024-04-08T00:00:00"/>
    <s v="Not available"/>
    <n v="5049870603"/>
    <x v="4"/>
    <x v="1"/>
    <x v="0"/>
    <x v="0"/>
    <n v="5049870603"/>
  </r>
  <r>
    <x v="16"/>
    <x v="16"/>
    <x v="4"/>
    <n v="143886"/>
    <d v="2019-04-09T00:00:00"/>
    <s v="Not available"/>
    <n v="9285350741"/>
    <x v="0"/>
    <x v="0"/>
    <x v="0"/>
    <x v="0"/>
    <n v="9285350741"/>
  </r>
  <r>
    <x v="17"/>
    <x v="17"/>
    <x v="3"/>
    <n v="143886"/>
    <d v="2023-04-14T00:00:00"/>
    <s v="lavanyashah@hotmail.com"/>
    <n v="2568346564"/>
    <x v="3"/>
    <x v="0"/>
    <x v="0"/>
    <x v="6"/>
    <n v="2568346564"/>
  </r>
  <r>
    <x v="18"/>
    <x v="18"/>
    <x v="9"/>
    <n v="143886"/>
    <d v="2025-01-06T00:00:00"/>
    <s v="halderadah@gokhale-dhingra.org"/>
    <n v="2898555776"/>
    <x v="1"/>
    <x v="3"/>
    <x v="0"/>
    <x v="1"/>
    <n v="2898555776"/>
  </r>
  <r>
    <x v="19"/>
    <x v="19"/>
    <x v="10"/>
    <n v="76731"/>
    <d v="2018-01-20T00:00:00"/>
    <s v="sahotainaaya@hotmail.com"/>
    <n v="53719"/>
    <x v="0"/>
    <x v="4"/>
    <x v="1"/>
    <x v="1"/>
    <s v="Not Available"/>
  </r>
  <r>
    <x v="20"/>
    <x v="20"/>
    <x v="3"/>
    <n v="5000"/>
    <d v="2016-07-12T00:00:00"/>
    <s v="gkakar@hotmail.com"/>
    <n v="2003781030"/>
    <x v="4"/>
    <x v="2"/>
    <x v="0"/>
    <x v="1"/>
    <n v="2003781030"/>
  </r>
  <r>
    <x v="21"/>
    <x v="21"/>
    <x v="3"/>
    <n v="143886"/>
    <d v="2021-03-04T00:00:00"/>
    <s v="anahigoyal@shanker-bhatia.com"/>
    <n v="61755"/>
    <x v="0"/>
    <x v="0"/>
    <x v="0"/>
    <x v="2"/>
    <s v="Not Available"/>
  </r>
  <r>
    <x v="22"/>
    <x v="22"/>
    <x v="4"/>
    <n v="393723"/>
    <d v="2022-12-09T00:00:00"/>
    <s v="shanayajayaraman@basak-borra.com"/>
    <n v="3719783552"/>
    <x v="2"/>
    <x v="0"/>
    <x v="1"/>
    <x v="0"/>
    <n v="3719783552"/>
  </r>
  <r>
    <x v="23"/>
    <x v="23"/>
    <x v="4"/>
    <n v="482513"/>
    <d v="2025-07-16T00:00:00"/>
    <s v="divyansh59@sampath.com"/>
    <n v="341116676"/>
    <x v="3"/>
    <x v="0"/>
    <x v="1"/>
    <x v="2"/>
    <s v="Not Available"/>
  </r>
  <r>
    <x v="24"/>
    <x v="24"/>
    <x v="11"/>
    <n v="5000"/>
    <d v="2017-12-12T00:00:00"/>
    <s v="hcontractor@mandal.com"/>
    <n v="2156998068"/>
    <x v="1"/>
    <x v="2"/>
    <x v="0"/>
    <x v="0"/>
    <n v="2156998068"/>
  </r>
  <r>
    <x v="25"/>
    <x v="25"/>
    <x v="4"/>
    <n v="143886"/>
    <d v="2021-12-23T00:00:00"/>
    <s v="dthaker@yahoo.com"/>
    <n v="2252799243"/>
    <x v="0"/>
    <x v="2"/>
    <x v="1"/>
    <x v="0"/>
    <n v="2252799243"/>
  </r>
  <r>
    <x v="26"/>
    <x v="26"/>
    <x v="3"/>
    <n v="336943"/>
    <d v="2022-08-31T00:00:00"/>
    <s v="sabharwalakarshhotmail@gmail.com"/>
    <n v="9483391592"/>
    <x v="3"/>
    <x v="3"/>
    <x v="0"/>
    <x v="2"/>
    <n v="9483391592"/>
  </r>
  <r>
    <x v="27"/>
    <x v="27"/>
    <x v="12"/>
    <n v="81139"/>
    <d v="2025-10-15T00:00:00"/>
    <s v="mthaman@mammen.biz"/>
    <n v="2211064892"/>
    <x v="1"/>
    <x v="1"/>
    <x v="1"/>
    <x v="2"/>
    <n v="2211064892"/>
  </r>
  <r>
    <x v="28"/>
    <x v="28"/>
    <x v="13"/>
    <n v="41812"/>
    <d v="2020-11-28T00:00:00"/>
    <s v="lroy@devi.org"/>
    <n v="4244338979"/>
    <x v="1"/>
    <x v="2"/>
    <x v="0"/>
    <x v="2"/>
    <n v="4244338979"/>
  </r>
  <r>
    <x v="29"/>
    <x v="29"/>
    <x v="2"/>
    <n v="143886"/>
    <d v="2021-11-07T00:00:00"/>
    <s v="Not available"/>
    <n v="8402500478"/>
    <x v="3"/>
    <x v="3"/>
    <x v="1"/>
    <x v="0"/>
    <n v="8402500478"/>
  </r>
  <r>
    <x v="30"/>
    <x v="30"/>
    <x v="4"/>
    <n v="5000"/>
    <d v="2023-12-06T00:00:00"/>
    <s v="garginaaya@shah.com"/>
    <n v="1156491119"/>
    <x v="0"/>
    <x v="0"/>
    <x v="1"/>
    <x v="0"/>
    <n v="1156491119"/>
  </r>
  <r>
    <x v="31"/>
    <x v="31"/>
    <x v="1"/>
    <n v="143886"/>
    <d v="2024-09-01T00:00:00"/>
    <s v="ojasbains@manne.com"/>
    <n v="3887536079"/>
    <x v="0"/>
    <x v="0"/>
    <x v="1"/>
    <x v="0"/>
    <n v="3887536079"/>
  </r>
  <r>
    <x v="32"/>
    <x v="32"/>
    <x v="4"/>
    <n v="143886"/>
    <d v="2020-04-22T00:00:00"/>
    <s v="shethhazel@gmail.com"/>
    <n v="8479648683"/>
    <x v="4"/>
    <x v="1"/>
    <x v="0"/>
    <x v="1"/>
    <n v="8479648683"/>
  </r>
  <r>
    <x v="33"/>
    <x v="33"/>
    <x v="4"/>
    <n v="143886"/>
    <d v="2025-06-11T00:00:00"/>
    <s v="urvibabu@hotmail.com"/>
    <n v="9180728258"/>
    <x v="3"/>
    <x v="4"/>
    <x v="0"/>
    <x v="1"/>
    <n v="9180728258"/>
  </r>
  <r>
    <x v="34"/>
    <x v="34"/>
    <x v="3"/>
    <n v="77260"/>
    <d v="2022-08-10T00:00:00"/>
    <s v="ishita28dyal.biz"/>
    <n v="3676363782"/>
    <x v="1"/>
    <x v="1"/>
    <x v="1"/>
    <x v="1"/>
    <n v="3676363782"/>
  </r>
  <r>
    <x v="35"/>
    <x v="35"/>
    <x v="4"/>
    <n v="143886"/>
    <d v="2023-12-24T00:00:00"/>
    <s v="himmatdivan@kulkarni.com"/>
    <n v="3505739104"/>
    <x v="2"/>
    <x v="0"/>
    <x v="1"/>
    <x v="1"/>
    <n v="3505739104"/>
  </r>
  <r>
    <x v="36"/>
    <x v="36"/>
    <x v="4"/>
    <n v="143886"/>
    <d v="2026-05-03T00:00:00"/>
    <s v="elakshi78@goda-sharma.net"/>
    <n v="4497526118"/>
    <x v="0"/>
    <x v="2"/>
    <x v="0"/>
    <x v="2"/>
    <n v="4497526118"/>
  </r>
  <r>
    <x v="37"/>
    <x v="37"/>
    <x v="4"/>
    <n v="303703"/>
    <d v="2020-02-22T00:00:00"/>
    <s v="jmammen@yahoo.com"/>
    <n v="7541627329"/>
    <x v="2"/>
    <x v="0"/>
    <x v="0"/>
    <x v="1"/>
    <n v="7541627329"/>
  </r>
  <r>
    <x v="38"/>
    <x v="38"/>
    <x v="2"/>
    <n v="143886"/>
    <d v="2019-12-03T00:00:00"/>
    <s v="cverma@mane.com"/>
    <n v="4704336223"/>
    <x v="4"/>
    <x v="1"/>
    <x v="0"/>
    <x v="0"/>
    <n v="4704336223"/>
  </r>
  <r>
    <x v="39"/>
    <x v="39"/>
    <x v="3"/>
    <n v="250876"/>
    <d v="2016-11-29T00:00:00"/>
    <s v="dhanukmajumdar@deshmukh-choudhry.com"/>
    <n v="2175854966"/>
    <x v="1"/>
    <x v="0"/>
    <x v="0"/>
    <x v="7"/>
    <n v="2175854966"/>
  </r>
  <r>
    <x v="40"/>
    <x v="40"/>
    <x v="3"/>
    <n v="143886"/>
    <d v="2017-09-11T00:00:00"/>
    <s v="biswaspurab@wason.com"/>
    <n v="1273193659"/>
    <x v="1"/>
    <x v="0"/>
    <x v="0"/>
    <x v="2"/>
    <n v="1273193659"/>
  </r>
  <r>
    <x v="41"/>
    <x v="41"/>
    <x v="4"/>
    <n v="143886"/>
    <d v="2024-02-18T00:00:00"/>
    <s v="samarsaran@karnik.com"/>
    <n v="505858693"/>
    <x v="3"/>
    <x v="2"/>
    <x v="1"/>
    <x v="2"/>
    <s v="Not Available"/>
  </r>
  <r>
    <x v="42"/>
    <x v="42"/>
    <x v="14"/>
    <n v="5000"/>
    <d v="2017-10-29T00:00:00"/>
    <s v="hrishita29@gmail.com"/>
    <n v="8911277295"/>
    <x v="1"/>
    <x v="0"/>
    <x v="0"/>
    <x v="1"/>
    <n v="8911277295"/>
  </r>
  <r>
    <x v="43"/>
    <x v="43"/>
    <x v="15"/>
    <n v="396829"/>
    <d v="2020-12-24T00:00:00"/>
    <s v="hridaanmallick@yahoo.com"/>
    <n v="4004872240"/>
    <x v="1"/>
    <x v="1"/>
    <x v="0"/>
    <x v="1"/>
    <n v="4004872240"/>
  </r>
  <r>
    <x v="44"/>
    <x v="44"/>
    <x v="3"/>
    <n v="143886"/>
    <d v="2026-08-03T00:00:00"/>
    <s v="kiaravarkey@sanghvi-kurian.com"/>
    <n v="8975049596"/>
    <x v="1"/>
    <x v="0"/>
    <x v="0"/>
    <x v="0"/>
    <n v="8975049596"/>
  </r>
  <r>
    <x v="45"/>
    <x v="45"/>
    <x v="16"/>
    <n v="411368"/>
    <d v="2023-06-12T00:00:00"/>
    <s v="rania54@yahoo.com"/>
    <n v="5337597169"/>
    <x v="4"/>
    <x v="3"/>
    <x v="0"/>
    <x v="8"/>
    <n v="5337597169"/>
  </r>
  <r>
    <x v="46"/>
    <x v="46"/>
    <x v="3"/>
    <n v="5000"/>
    <d v="2020-12-18T00:00:00"/>
    <s v="fsandhu@banerjee-sandal.com"/>
    <n v="1620807539"/>
    <x v="3"/>
    <x v="4"/>
    <x v="0"/>
    <x v="0"/>
    <n v="1620807539"/>
  </r>
  <r>
    <x v="47"/>
    <x v="47"/>
    <x v="3"/>
    <n v="143886"/>
    <d v="2016-07-23T00:00:00"/>
    <s v="vedikathakkar@vora.com"/>
    <n v="8413309342"/>
    <x v="4"/>
    <x v="0"/>
    <x v="0"/>
    <x v="0"/>
    <n v="8413309342"/>
  </r>
  <r>
    <x v="48"/>
    <x v="48"/>
    <x v="3"/>
    <n v="143886"/>
    <d v="2024-05-25T00:00:00"/>
    <s v="lakshay74@hotmail.com"/>
    <n v="1947159279"/>
    <x v="3"/>
    <x v="0"/>
    <x v="0"/>
    <x v="9"/>
    <n v="1947159279"/>
  </r>
  <r>
    <x v="49"/>
    <x v="49"/>
    <x v="3"/>
    <n v="5000"/>
    <d v="2019-05-26T00:00:00"/>
    <s v="choudharyrania@hotmail.com"/>
    <n v="4173200092"/>
    <x v="3"/>
    <x v="0"/>
    <x v="0"/>
    <x v="1"/>
    <n v="4173200092"/>
  </r>
  <r>
    <x v="50"/>
    <x v="50"/>
    <x v="4"/>
    <n v="67550"/>
    <d v="2020-08-04T00:00:00"/>
    <s v="aarushwason@mani.biz"/>
    <n v="3230526443"/>
    <x v="1"/>
    <x v="0"/>
    <x v="0"/>
    <x v="10"/>
    <n v="3230526443"/>
  </r>
  <r>
    <x v="51"/>
    <x v="51"/>
    <x v="17"/>
    <n v="143886"/>
    <d v="2023-04-24T00:00:00"/>
    <s v="Not available"/>
    <n v="2635417068"/>
    <x v="2"/>
    <x v="3"/>
    <x v="1"/>
    <x v="2"/>
    <n v="2635417068"/>
  </r>
  <r>
    <x v="52"/>
    <x v="52"/>
    <x v="3"/>
    <n v="379222"/>
    <d v="2019-03-14T00:00:00"/>
    <s v="prisha30@hotmail.com"/>
    <n v="6432268695"/>
    <x v="3"/>
    <x v="1"/>
    <x v="0"/>
    <x v="1"/>
    <n v="6432268695"/>
  </r>
  <r>
    <x v="53"/>
    <x v="53"/>
    <x v="3"/>
    <n v="5000"/>
    <d v="2022-01-24T00:00:00"/>
    <s v="lavanya48@hotmail.com"/>
    <n v="3374954303"/>
    <x v="0"/>
    <x v="3"/>
    <x v="0"/>
    <x v="2"/>
    <n v="3374954303"/>
  </r>
  <r>
    <x v="54"/>
    <x v="54"/>
    <x v="3"/>
    <n v="143886"/>
    <d v="2020-01-09T00:00:00"/>
    <s v="xsha@chakrabarti.com"/>
    <n v="2048996219"/>
    <x v="1"/>
    <x v="3"/>
    <x v="1"/>
    <x v="2"/>
    <n v="2048996219"/>
  </r>
  <r>
    <x v="55"/>
    <x v="55"/>
    <x v="4"/>
    <n v="5000"/>
    <d v="2016-11-21T00:00:00"/>
    <s v="guptakartik@hotmail.com"/>
    <n v="5289076993"/>
    <x v="3"/>
    <x v="0"/>
    <x v="0"/>
    <x v="0"/>
    <n v="5289076993"/>
  </r>
  <r>
    <x v="56"/>
    <x v="56"/>
    <x v="18"/>
    <n v="143886"/>
    <d v="2024-02-11T00:00:00"/>
    <s v="chandelakshi@cheema.info"/>
    <n v="7331515961"/>
    <x v="4"/>
    <x v="2"/>
    <x v="0"/>
    <x v="11"/>
    <n v="7331515961"/>
  </r>
  <r>
    <x v="57"/>
    <x v="57"/>
    <x v="3"/>
    <n v="294834"/>
    <d v="2022-04-28T00:00:00"/>
    <s v="anayvenkatesh@yahoo.com"/>
    <n v="8383277329"/>
    <x v="3"/>
    <x v="0"/>
    <x v="1"/>
    <x v="12"/>
    <n v="8383277329"/>
  </r>
  <r>
    <x v="58"/>
    <x v="58"/>
    <x v="4"/>
    <n v="384504"/>
    <d v="2022-08-23T00:00:00"/>
    <s v="dharhazel@bala.org"/>
    <n v="1482181885"/>
    <x v="4"/>
    <x v="0"/>
    <x v="0"/>
    <x v="2"/>
    <n v="1482181885"/>
  </r>
  <r>
    <x v="59"/>
    <x v="59"/>
    <x v="13"/>
    <n v="5000"/>
    <d v="2021-01-19T00:00:00"/>
    <s v="shalvsrivastava@dhingra.com"/>
    <n v="80274"/>
    <x v="4"/>
    <x v="3"/>
    <x v="1"/>
    <x v="1"/>
    <s v="Not Available"/>
  </r>
  <r>
    <x v="60"/>
    <x v="60"/>
    <x v="3"/>
    <n v="116325"/>
    <d v="2021-01-31T00:00:00"/>
    <s v="samiha13@yahoo.com"/>
    <n v="9042117279"/>
    <x v="1"/>
    <x v="0"/>
    <x v="0"/>
    <x v="11"/>
    <n v="9042117279"/>
  </r>
  <r>
    <x v="61"/>
    <x v="61"/>
    <x v="3"/>
    <n v="143886"/>
    <d v="2019-09-14T00:00:00"/>
    <s v="ugola@bail.com"/>
    <n v="6077102153"/>
    <x v="3"/>
    <x v="0"/>
    <x v="0"/>
    <x v="2"/>
    <n v="6077102153"/>
  </r>
  <r>
    <x v="62"/>
    <x v="62"/>
    <x v="13"/>
    <n v="191994"/>
    <d v="2025-10-10T00:00:00"/>
    <s v="ogoyal@krishna-kamdar.info"/>
    <n v="8378102595"/>
    <x v="1"/>
    <x v="3"/>
    <x v="1"/>
    <x v="4"/>
    <n v="8378102595"/>
  </r>
  <r>
    <x v="63"/>
    <x v="63"/>
    <x v="3"/>
    <n v="143886"/>
    <d v="2025-07-15T00:00:00"/>
    <s v="priyanshshere@yahoo.com"/>
    <n v="9707951566"/>
    <x v="1"/>
    <x v="0"/>
    <x v="0"/>
    <x v="0"/>
    <n v="9707951566"/>
  </r>
  <r>
    <x v="64"/>
    <x v="64"/>
    <x v="4"/>
    <n v="143886"/>
    <d v="2023-10-15T00:00:00"/>
    <s v="vritikasuresh@gmail.com"/>
    <n v="7276503628"/>
    <x v="0"/>
    <x v="3"/>
    <x v="1"/>
    <x v="2"/>
    <n v="7276503628"/>
  </r>
  <r>
    <x v="65"/>
    <x v="65"/>
    <x v="3"/>
    <n v="415957"/>
    <d v="2024-02-04T00:00:00"/>
    <s v="saksham90@sarin.biz"/>
    <n v="9728169979"/>
    <x v="1"/>
    <x v="1"/>
    <x v="1"/>
    <x v="0"/>
    <n v="9728169979"/>
  </r>
  <r>
    <x v="66"/>
    <x v="66"/>
    <x v="3"/>
    <n v="143886"/>
    <d v="2018-11-22T00:00:00"/>
    <s v="bailehsaan@sami.net"/>
    <n v="4135205789"/>
    <x v="1"/>
    <x v="2"/>
    <x v="0"/>
    <x v="13"/>
    <n v="4135205789"/>
  </r>
  <r>
    <x v="67"/>
    <x v="67"/>
    <x v="19"/>
    <n v="143886"/>
    <d v="2020-07-14T00:00:00"/>
    <s v="Not available"/>
    <n v="1918707240"/>
    <x v="3"/>
    <x v="0"/>
    <x v="0"/>
    <x v="1"/>
    <n v="1918707240"/>
  </r>
  <r>
    <x v="68"/>
    <x v="68"/>
    <x v="20"/>
    <n v="183077"/>
    <d v="2016-11-18T00:00:00"/>
    <s v="fkuruvilla@gmail.com"/>
    <n v="8460500285"/>
    <x v="1"/>
    <x v="3"/>
    <x v="0"/>
    <x v="1"/>
    <n v="8460500285"/>
  </r>
  <r>
    <x v="69"/>
    <x v="69"/>
    <x v="4"/>
    <n v="143886"/>
    <d v="2023-04-25T00:00:00"/>
    <s v="vanyasandal@lanka.org"/>
    <n v="7322950130"/>
    <x v="1"/>
    <x v="0"/>
    <x v="0"/>
    <x v="1"/>
    <n v="7322950130"/>
  </r>
  <r>
    <x v="70"/>
    <x v="70"/>
    <x v="11"/>
    <n v="5000"/>
    <d v="2016-10-26T00:00:00"/>
    <s v="deoaliaraval@gmail.com"/>
    <n v="5350396305"/>
    <x v="3"/>
    <x v="0"/>
    <x v="1"/>
    <x v="2"/>
    <n v="5350396305"/>
  </r>
  <r>
    <x v="71"/>
    <x v="71"/>
    <x v="3"/>
    <n v="363708"/>
    <d v="2020-08-05T00:00:00"/>
    <s v="yhayer@kala.com"/>
    <n v="1372342172"/>
    <x v="0"/>
    <x v="4"/>
    <x v="0"/>
    <x v="0"/>
    <n v="1372342172"/>
  </r>
  <r>
    <x v="72"/>
    <x v="72"/>
    <x v="3"/>
    <n v="143886"/>
    <d v="2018-07-02T00:00:00"/>
    <s v="boasepurab@gmail.com"/>
    <n v="4435454450"/>
    <x v="2"/>
    <x v="4"/>
    <x v="0"/>
    <x v="1"/>
    <n v="4435454450"/>
  </r>
  <r>
    <x v="73"/>
    <x v="73"/>
    <x v="21"/>
    <n v="295213"/>
    <d v="2025-04-17T00:00:00"/>
    <s v="nakul82@gmail.com"/>
    <n v="94662"/>
    <x v="2"/>
    <x v="0"/>
    <x v="0"/>
    <x v="2"/>
    <s v="Not Available"/>
  </r>
  <r>
    <x v="74"/>
    <x v="74"/>
    <x v="4"/>
    <n v="143886"/>
    <d v="2023-03-13T00:00:00"/>
    <s v="aarav68@talwar.com"/>
    <n v="2614325643"/>
    <x v="4"/>
    <x v="1"/>
    <x v="0"/>
    <x v="2"/>
    <n v="2614325643"/>
  </r>
  <r>
    <x v="75"/>
    <x v="75"/>
    <x v="4"/>
    <n v="143886"/>
    <d v="2018-04-11T00:00:00"/>
    <s v="armaan64yahoo@gmail.com"/>
    <n v="512305664"/>
    <x v="3"/>
    <x v="0"/>
    <x v="0"/>
    <x v="1"/>
    <s v="Not Available"/>
  </r>
  <r>
    <x v="76"/>
    <x v="76"/>
    <x v="3"/>
    <n v="143886"/>
    <d v="2023-09-18T00:00:00"/>
    <s v="achoudhary@hotmail.com"/>
    <n v="9413342180"/>
    <x v="2"/>
    <x v="0"/>
    <x v="0"/>
    <x v="1"/>
    <n v="9413342180"/>
  </r>
  <r>
    <x v="77"/>
    <x v="77"/>
    <x v="3"/>
    <n v="102125"/>
    <d v="2022-12-23T00:00:00"/>
    <s v="kotalakshithotmail@gmail.com"/>
    <n v="8533315237"/>
    <x v="1"/>
    <x v="4"/>
    <x v="0"/>
    <x v="0"/>
    <n v="8533315237"/>
  </r>
  <r>
    <x v="78"/>
    <x v="78"/>
    <x v="22"/>
    <n v="429769"/>
    <d v="2016-12-24T00:00:00"/>
    <s v="zrastogi@de-tank.com"/>
    <n v="5553098913"/>
    <x v="3"/>
    <x v="0"/>
    <x v="1"/>
    <x v="1"/>
    <n v="5553098913"/>
  </r>
  <r>
    <x v="79"/>
    <x v="79"/>
    <x v="23"/>
    <n v="143886"/>
    <d v="2020-01-03T00:00:00"/>
    <s v="aaryahikrishnan@bhavsar.com"/>
    <n v="8026188113"/>
    <x v="1"/>
    <x v="0"/>
    <x v="0"/>
    <x v="0"/>
    <n v="8026188113"/>
  </r>
  <r>
    <x v="80"/>
    <x v="80"/>
    <x v="3"/>
    <n v="5000"/>
    <d v="2023-03-23T00:00:00"/>
    <s v="miraya88@hotmail.com"/>
    <n v="720371614"/>
    <x v="1"/>
    <x v="2"/>
    <x v="0"/>
    <x v="2"/>
    <s v="Not Available"/>
  </r>
  <r>
    <x v="81"/>
    <x v="81"/>
    <x v="24"/>
    <n v="143886"/>
    <d v="2024-07-06T00:00:00"/>
    <s v="zarathakur@gmail.com"/>
    <n v="9468434061"/>
    <x v="2"/>
    <x v="4"/>
    <x v="0"/>
    <x v="2"/>
    <n v="9468434061"/>
  </r>
  <r>
    <x v="82"/>
    <x v="82"/>
    <x v="3"/>
    <n v="136828"/>
    <d v="2021-04-24T00:00:00"/>
    <s v="devanshdas@mallick.com"/>
    <n v="8092217687"/>
    <x v="4"/>
    <x v="4"/>
    <x v="1"/>
    <x v="2"/>
    <n v="8092217687"/>
  </r>
  <r>
    <x v="83"/>
    <x v="83"/>
    <x v="3"/>
    <n v="143886"/>
    <d v="2026-04-04T00:00:00"/>
    <s v="sana60@yahoo.com"/>
    <n v="11173"/>
    <x v="1"/>
    <x v="0"/>
    <x v="0"/>
    <x v="0"/>
    <s v="Not Available"/>
  </r>
  <r>
    <x v="84"/>
    <x v="84"/>
    <x v="3"/>
    <n v="5000"/>
    <d v="2021-10-21T00:00:00"/>
    <s v="shraytata@yahoo.com"/>
    <n v="7407645674"/>
    <x v="1"/>
    <x v="0"/>
    <x v="0"/>
    <x v="1"/>
    <n v="7407645674"/>
  </r>
  <r>
    <x v="85"/>
    <x v="85"/>
    <x v="21"/>
    <n v="5000"/>
    <d v="2020-12-06T00:00:00"/>
    <s v="sdhawan@dass.com"/>
    <n v="6646936935"/>
    <x v="3"/>
    <x v="1"/>
    <x v="0"/>
    <x v="1"/>
    <n v="6646936935"/>
  </r>
  <r>
    <x v="86"/>
    <x v="86"/>
    <x v="3"/>
    <n v="119704"/>
    <d v="2019-08-12T00:00:00"/>
    <s v="gkhosla@hotmail.com"/>
    <n v="2153194410"/>
    <x v="1"/>
    <x v="4"/>
    <x v="1"/>
    <x v="12"/>
    <n v="2153194410"/>
  </r>
  <r>
    <x v="87"/>
    <x v="87"/>
    <x v="22"/>
    <n v="451272"/>
    <d v="2020-03-16T00:00:00"/>
    <s v="siya42@atwal-jaggi.org"/>
    <n v="9928213377"/>
    <x v="4"/>
    <x v="2"/>
    <x v="1"/>
    <x v="14"/>
    <n v="9928213377"/>
  </r>
  <r>
    <x v="88"/>
    <x v="88"/>
    <x v="25"/>
    <n v="143886"/>
    <d v="2020-02-06T00:00:00"/>
    <s v="kabirvora@balan-kakar.info"/>
    <n v="2194345132"/>
    <x v="1"/>
    <x v="3"/>
    <x v="1"/>
    <x v="2"/>
    <n v="2194345132"/>
  </r>
  <r>
    <x v="89"/>
    <x v="89"/>
    <x v="3"/>
    <n v="57147"/>
    <d v="2022-11-22T00:00:00"/>
    <s v="qsuri@yahoo.com"/>
    <n v="507149447"/>
    <x v="1"/>
    <x v="3"/>
    <x v="0"/>
    <x v="1"/>
    <s v="Not Available"/>
  </r>
  <r>
    <x v="90"/>
    <x v="90"/>
    <x v="4"/>
    <n v="491278"/>
    <d v="2025-08-07T00:00:00"/>
    <s v="csen@hotmail.com"/>
    <n v="1062456851"/>
    <x v="1"/>
    <x v="0"/>
    <x v="0"/>
    <x v="2"/>
    <n v="1062456851"/>
  </r>
  <r>
    <x v="91"/>
    <x v="91"/>
    <x v="26"/>
    <n v="261485"/>
    <d v="2025-09-17T00:00:00"/>
    <s v="lalpranay@tandon.com"/>
    <n v="8538738552"/>
    <x v="3"/>
    <x v="0"/>
    <x v="0"/>
    <x v="15"/>
    <n v="8538738552"/>
  </r>
  <r>
    <x v="92"/>
    <x v="92"/>
    <x v="4"/>
    <n v="5000"/>
    <d v="2018-06-15T00:00:00"/>
    <s v="gramachandran@yahoo.com"/>
    <n v="2599808680"/>
    <x v="1"/>
    <x v="1"/>
    <x v="0"/>
    <x v="16"/>
    <n v="2599808680"/>
  </r>
  <r>
    <x v="93"/>
    <x v="93"/>
    <x v="4"/>
    <n v="139667"/>
    <d v="2020-02-03T00:00:00"/>
    <s v="emirverma@hotmail.com"/>
    <n v="5384782684"/>
    <x v="1"/>
    <x v="4"/>
    <x v="1"/>
    <x v="1"/>
    <n v="5384782684"/>
  </r>
  <r>
    <x v="94"/>
    <x v="94"/>
    <x v="3"/>
    <n v="5000"/>
    <d v="2019-09-20T00:00:00"/>
    <s v="lviswanathan@sarma.com"/>
    <n v="7310577136"/>
    <x v="3"/>
    <x v="4"/>
    <x v="1"/>
    <x v="1"/>
    <n v="7310577136"/>
  </r>
  <r>
    <x v="95"/>
    <x v="95"/>
    <x v="3"/>
    <n v="57758"/>
    <d v="2024-03-04T00:00:00"/>
    <s v="kashvi47@kara.info"/>
    <n v="7435597779"/>
    <x v="4"/>
    <x v="0"/>
    <x v="0"/>
    <x v="17"/>
    <n v="7435597779"/>
  </r>
  <r>
    <x v="96"/>
    <x v="96"/>
    <x v="3"/>
    <n v="294655"/>
    <d v="2021-02-09T00:00:00"/>
    <s v="rativarmamangal.org"/>
    <n v="7651541566"/>
    <x v="1"/>
    <x v="0"/>
    <x v="1"/>
    <x v="2"/>
    <n v="7651541566"/>
  </r>
  <r>
    <x v="97"/>
    <x v="97"/>
    <x v="4"/>
    <n v="50188"/>
    <d v="2020-11-05T00:00:00"/>
    <s v="shamik86@kara.info"/>
    <n v="7930305808"/>
    <x v="1"/>
    <x v="0"/>
    <x v="1"/>
    <x v="1"/>
    <n v="7930305808"/>
  </r>
  <r>
    <x v="98"/>
    <x v="98"/>
    <x v="3"/>
    <n v="340155"/>
    <d v="2018-08-27T00:00:00"/>
    <s v="msaraf@hotmail.com"/>
    <n v="2889061802"/>
    <x v="1"/>
    <x v="1"/>
    <x v="0"/>
    <x v="1"/>
    <n v="2889061802"/>
  </r>
  <r>
    <x v="99"/>
    <x v="99"/>
    <x v="4"/>
    <n v="463964"/>
    <d v="2023-02-27T00:00:00"/>
    <s v="ldyal@bajwa.net"/>
    <n v="2105029179"/>
    <x v="1"/>
    <x v="1"/>
    <x v="0"/>
    <x v="2"/>
    <n v="2105029179"/>
  </r>
  <r>
    <x v="100"/>
    <x v="100"/>
    <x v="27"/>
    <n v="110059"/>
    <d v="2019-03-17T00:00:00"/>
    <s v="akarshlad@gmail.com"/>
    <n v="3779287138"/>
    <x v="4"/>
    <x v="0"/>
    <x v="0"/>
    <x v="1"/>
    <n v="3779287138"/>
  </r>
  <r>
    <x v="101"/>
    <x v="101"/>
    <x v="3"/>
    <n v="5000"/>
    <d v="2016-01-10T00:00:00"/>
    <s v="bhasinaarav@gmail.com"/>
    <n v="3628909096"/>
    <x v="2"/>
    <x v="0"/>
    <x v="1"/>
    <x v="1"/>
    <n v="3628909096"/>
  </r>
  <r>
    <x v="102"/>
    <x v="102"/>
    <x v="4"/>
    <n v="5000"/>
    <d v="2021-03-25T00:00:00"/>
    <s v="vivaandar@hotmail.com"/>
    <n v="2574167333"/>
    <x v="3"/>
    <x v="0"/>
    <x v="0"/>
    <x v="0"/>
    <n v="2574167333"/>
  </r>
  <r>
    <x v="103"/>
    <x v="103"/>
    <x v="28"/>
    <n v="5000"/>
    <d v="2022-06-14T00:00:00"/>
    <s v="fvarughese@ganesan.org"/>
    <n v="9704471694"/>
    <x v="1"/>
    <x v="3"/>
    <x v="1"/>
    <x v="0"/>
    <n v="9704471694"/>
  </r>
  <r>
    <x v="104"/>
    <x v="104"/>
    <x v="3"/>
    <n v="470990"/>
    <d v="2022-07-14T00:00:00"/>
    <s v="bdeshpande@raman.com"/>
    <n v="7875997570"/>
    <x v="1"/>
    <x v="3"/>
    <x v="1"/>
    <x v="0"/>
    <n v="7875997570"/>
  </r>
  <r>
    <x v="105"/>
    <x v="105"/>
    <x v="4"/>
    <n v="143886"/>
    <d v="2017-04-13T00:00:00"/>
    <s v="shanayamanda@sarkar-butala.net"/>
    <n v="1146821758"/>
    <x v="2"/>
    <x v="3"/>
    <x v="0"/>
    <x v="2"/>
    <n v="1146821758"/>
  </r>
  <r>
    <x v="106"/>
    <x v="106"/>
    <x v="29"/>
    <n v="143886"/>
    <d v="2021-12-04T00:00:00"/>
    <s v="gdar@deshmukh.org"/>
    <n v="5909181794"/>
    <x v="1"/>
    <x v="0"/>
    <x v="0"/>
    <x v="1"/>
    <n v="5909181794"/>
  </r>
  <r>
    <x v="107"/>
    <x v="107"/>
    <x v="4"/>
    <n v="143886"/>
    <d v="2020-02-24T00:00:00"/>
    <s v="mangatarnav@wable.biz"/>
    <n v="9999678362"/>
    <x v="1"/>
    <x v="0"/>
    <x v="0"/>
    <x v="0"/>
    <n v="9999678362"/>
  </r>
  <r>
    <x v="108"/>
    <x v="108"/>
    <x v="3"/>
    <n v="5000"/>
    <d v="2024-02-10T00:00:00"/>
    <s v="yashvikale@gour.com"/>
    <n v="6593008544"/>
    <x v="1"/>
    <x v="0"/>
    <x v="0"/>
    <x v="1"/>
    <n v="6593008544"/>
  </r>
  <r>
    <x v="109"/>
    <x v="109"/>
    <x v="30"/>
    <n v="5000"/>
    <d v="2020-06-18T00:00:00"/>
    <s v="samaira50@yahoo.com"/>
    <n v="4531078162"/>
    <x v="1"/>
    <x v="1"/>
    <x v="1"/>
    <x v="10"/>
    <n v="4531078162"/>
  </r>
  <r>
    <x v="110"/>
    <x v="110"/>
    <x v="3"/>
    <n v="421429"/>
    <d v="2024-08-31T00:00:00"/>
    <s v="samarth39@gmail.com"/>
    <n v="8187875838"/>
    <x v="3"/>
    <x v="3"/>
    <x v="0"/>
    <x v="1"/>
    <n v="8187875838"/>
  </r>
  <r>
    <x v="111"/>
    <x v="111"/>
    <x v="31"/>
    <n v="354411"/>
    <d v="2024-12-30T00:00:00"/>
    <s v="ojas46@yahoo.com"/>
    <n v="4456967373"/>
    <x v="1"/>
    <x v="4"/>
    <x v="1"/>
    <x v="0"/>
    <n v="4456967373"/>
  </r>
  <r>
    <x v="112"/>
    <x v="112"/>
    <x v="4"/>
    <n v="5000"/>
    <d v="2020-09-30T00:00:00"/>
    <s v="dewanpranay@gmail.com"/>
    <n v="3918590093"/>
    <x v="1"/>
    <x v="2"/>
    <x v="1"/>
    <x v="2"/>
    <n v="3918590093"/>
  </r>
  <r>
    <x v="113"/>
    <x v="113"/>
    <x v="4"/>
    <n v="138657"/>
    <d v="2017-10-31T00:00:00"/>
    <s v="Not available"/>
    <n v="5790681813"/>
    <x v="4"/>
    <x v="0"/>
    <x v="0"/>
    <x v="0"/>
    <n v="5790681813"/>
  </r>
  <r>
    <x v="114"/>
    <x v="114"/>
    <x v="4"/>
    <n v="143886"/>
    <d v="2018-10-12T00:00:00"/>
    <s v="obehl@lall-ramakrishnan.com"/>
    <n v="4094838284"/>
    <x v="0"/>
    <x v="4"/>
    <x v="0"/>
    <x v="7"/>
    <n v="4094838284"/>
  </r>
  <r>
    <x v="115"/>
    <x v="115"/>
    <x v="32"/>
    <n v="102777"/>
    <d v="2017-09-16T00:00:00"/>
    <s v="bandiabram@baral-das.com"/>
    <n v="214618847"/>
    <x v="2"/>
    <x v="0"/>
    <x v="0"/>
    <x v="0"/>
    <s v="Not Available"/>
  </r>
  <r>
    <x v="116"/>
    <x v="116"/>
    <x v="2"/>
    <n v="43316"/>
    <d v="2020-07-07T00:00:00"/>
    <s v="thakkarojas@chandran.com"/>
    <n v="7069733543"/>
    <x v="2"/>
    <x v="4"/>
    <x v="1"/>
    <x v="0"/>
    <n v="7069733543"/>
  </r>
  <r>
    <x v="117"/>
    <x v="117"/>
    <x v="24"/>
    <n v="26980"/>
    <d v="2022-04-05T00:00:00"/>
    <s v="baraldamini@dhingra.com"/>
    <n v="6235661492"/>
    <x v="1"/>
    <x v="0"/>
    <x v="0"/>
    <x v="0"/>
    <n v="6235661492"/>
  </r>
  <r>
    <x v="118"/>
    <x v="118"/>
    <x v="33"/>
    <n v="143886"/>
    <d v="2024-10-10T00:00:00"/>
    <s v="jsanghvi@sidhu.org"/>
    <n v="402158534"/>
    <x v="1"/>
    <x v="4"/>
    <x v="0"/>
    <x v="6"/>
    <s v="Not Available"/>
  </r>
  <r>
    <x v="119"/>
    <x v="119"/>
    <x v="4"/>
    <n v="92116"/>
    <d v="2025-04-26T00:00:00"/>
    <s v="isamra@yahoo.com"/>
    <n v="4497129939"/>
    <x v="1"/>
    <x v="4"/>
    <x v="1"/>
    <x v="18"/>
    <n v="4497129939"/>
  </r>
  <r>
    <x v="120"/>
    <x v="120"/>
    <x v="3"/>
    <n v="143886"/>
    <d v="2025-11-03T00:00:00"/>
    <s v="sumeraurora@aggarwal.org"/>
    <n v="9725852632"/>
    <x v="2"/>
    <x v="4"/>
    <x v="0"/>
    <x v="0"/>
    <n v="9725852632"/>
  </r>
  <r>
    <x v="121"/>
    <x v="121"/>
    <x v="4"/>
    <n v="451769"/>
    <d v="2019-11-15T00:00:00"/>
    <s v="umang78@hotmail.com"/>
    <n v="9410571150"/>
    <x v="1"/>
    <x v="0"/>
    <x v="0"/>
    <x v="1"/>
    <n v="9410571150"/>
  </r>
  <r>
    <x v="122"/>
    <x v="122"/>
    <x v="3"/>
    <n v="248105"/>
    <d v="2024-07-23T00:00:00"/>
    <s v="manifarhan@saraf-venkatesh.com"/>
    <n v="3624636362"/>
    <x v="1"/>
    <x v="0"/>
    <x v="1"/>
    <x v="2"/>
    <n v="3624636362"/>
  </r>
  <r>
    <x v="123"/>
    <x v="123"/>
    <x v="3"/>
    <n v="143886"/>
    <d v="2019-12-16T00:00:00"/>
    <s v="ivanjayaraman@gmail.com"/>
    <n v="4757853119"/>
    <x v="3"/>
    <x v="0"/>
    <x v="1"/>
    <x v="0"/>
    <n v="4757853119"/>
  </r>
  <r>
    <x v="124"/>
    <x v="124"/>
    <x v="30"/>
    <n v="143886"/>
    <d v="2018-01-26T00:00:00"/>
    <s v="xsubramanian@hotmail.com"/>
    <n v="7309693370"/>
    <x v="1"/>
    <x v="0"/>
    <x v="1"/>
    <x v="6"/>
    <n v="7309693370"/>
  </r>
  <r>
    <x v="125"/>
    <x v="125"/>
    <x v="34"/>
    <n v="5000"/>
    <d v="2016-11-12T00:00:00"/>
    <s v="nitya46@gokhale-tak.com"/>
    <n v="9558287358"/>
    <x v="2"/>
    <x v="3"/>
    <x v="0"/>
    <x v="1"/>
    <n v="9558287358"/>
  </r>
  <r>
    <x v="126"/>
    <x v="126"/>
    <x v="3"/>
    <n v="61458"/>
    <d v="2025-01-06T00:00:00"/>
    <s v="wmadan@warrior.com"/>
    <n v="2570917431"/>
    <x v="0"/>
    <x v="0"/>
    <x v="1"/>
    <x v="1"/>
    <n v="2570917431"/>
  </r>
  <r>
    <x v="127"/>
    <x v="127"/>
    <x v="3"/>
    <n v="143886"/>
    <d v="2018-01-07T00:00:00"/>
    <s v="oorja62kurian@gmail.com"/>
    <n v="6582604487"/>
    <x v="2"/>
    <x v="0"/>
    <x v="0"/>
    <x v="2"/>
    <n v="6582604487"/>
  </r>
  <r>
    <x v="128"/>
    <x v="128"/>
    <x v="35"/>
    <n v="5000"/>
    <d v="2025-07-12T00:00:00"/>
    <s v="ebasak@hotmail.com"/>
    <n v="896170784"/>
    <x v="4"/>
    <x v="0"/>
    <x v="0"/>
    <x v="2"/>
    <s v="Not Available"/>
  </r>
  <r>
    <x v="129"/>
    <x v="129"/>
    <x v="3"/>
    <n v="351182"/>
    <d v="2022-10-13T00:00:00"/>
    <s v="ghosechirag@gmail.com"/>
    <n v="406750483"/>
    <x v="3"/>
    <x v="2"/>
    <x v="0"/>
    <x v="1"/>
    <s v="Not Available"/>
  </r>
  <r>
    <x v="130"/>
    <x v="130"/>
    <x v="3"/>
    <n v="326903"/>
    <d v="2023-07-01T00:00:00"/>
    <s v="bbhavsar@dewan.com"/>
    <n v="2036384493"/>
    <x v="1"/>
    <x v="0"/>
    <x v="1"/>
    <x v="1"/>
    <n v="2036384493"/>
  </r>
  <r>
    <x v="131"/>
    <x v="131"/>
    <x v="4"/>
    <n v="5000"/>
    <d v="2017-04-13T00:00:00"/>
    <s v="ramtanya@chokshi.org"/>
    <n v="7345078122"/>
    <x v="0"/>
    <x v="2"/>
    <x v="0"/>
    <x v="2"/>
    <n v="7345078122"/>
  </r>
  <r>
    <x v="132"/>
    <x v="132"/>
    <x v="36"/>
    <n v="5000"/>
    <d v="2018-07-30T00:00:00"/>
    <s v="mbhat@gmail.com"/>
    <n v="5393303978"/>
    <x v="0"/>
    <x v="0"/>
    <x v="1"/>
    <x v="1"/>
    <n v="5393303978"/>
  </r>
  <r>
    <x v="133"/>
    <x v="133"/>
    <x v="37"/>
    <n v="143811"/>
    <d v="2022-10-06T00:00:00"/>
    <s v="damini57@yahoo.com"/>
    <n v="4271888647"/>
    <x v="3"/>
    <x v="0"/>
    <x v="1"/>
    <x v="1"/>
    <n v="4271888647"/>
  </r>
  <r>
    <x v="134"/>
    <x v="134"/>
    <x v="3"/>
    <n v="68772"/>
    <d v="2017-03-05T00:00:00"/>
    <s v="sumerkulkarni@yohannan.net"/>
    <n v="5540586097"/>
    <x v="3"/>
    <x v="4"/>
    <x v="0"/>
    <x v="19"/>
    <n v="5540586097"/>
  </r>
  <r>
    <x v="135"/>
    <x v="135"/>
    <x v="3"/>
    <n v="438696"/>
    <d v="2023-09-15T00:00:00"/>
    <s v="daminikaur@hotmail.com"/>
    <n v="2959867227"/>
    <x v="3"/>
    <x v="0"/>
    <x v="0"/>
    <x v="9"/>
    <n v="2959867227"/>
  </r>
  <r>
    <x v="136"/>
    <x v="136"/>
    <x v="3"/>
    <n v="143886"/>
    <d v="2019-01-09T00:00:00"/>
    <s v="mannat58@sura.info"/>
    <n v="5031919205"/>
    <x v="4"/>
    <x v="3"/>
    <x v="0"/>
    <x v="20"/>
    <n v="5031919205"/>
  </r>
  <r>
    <x v="137"/>
    <x v="137"/>
    <x v="9"/>
    <n v="150380"/>
    <d v="2022-03-08T00:00:00"/>
    <s v="arnavbadami@hotmail.com"/>
    <n v="4039302725"/>
    <x v="1"/>
    <x v="0"/>
    <x v="0"/>
    <x v="0"/>
    <n v="4039302725"/>
  </r>
  <r>
    <x v="138"/>
    <x v="138"/>
    <x v="38"/>
    <n v="254739"/>
    <d v="2023-11-15T00:00:00"/>
    <s v="miraankalita@gole.com"/>
    <n v="2982871704"/>
    <x v="1"/>
    <x v="0"/>
    <x v="0"/>
    <x v="1"/>
    <n v="2982871704"/>
  </r>
  <r>
    <x v="139"/>
    <x v="139"/>
    <x v="3"/>
    <n v="31269"/>
    <d v="2017-03-20T00:00:00"/>
    <s v="arhaansarkar@yahoo.com"/>
    <n v="2888941494"/>
    <x v="4"/>
    <x v="0"/>
    <x v="0"/>
    <x v="1"/>
    <n v="2888941494"/>
  </r>
  <r>
    <x v="140"/>
    <x v="140"/>
    <x v="3"/>
    <n v="117219"/>
    <d v="2019-06-12T00:00:00"/>
    <s v="nirvaankapadia@kant-bahri.com"/>
    <n v="6333457546"/>
    <x v="2"/>
    <x v="0"/>
    <x v="0"/>
    <x v="1"/>
    <n v="6333457546"/>
  </r>
  <r>
    <x v="141"/>
    <x v="141"/>
    <x v="3"/>
    <n v="144078"/>
    <d v="2022-06-01T00:00:00"/>
    <s v="magarhazel@hotmail.com"/>
    <n v="1073609043"/>
    <x v="1"/>
    <x v="0"/>
    <x v="0"/>
    <x v="0"/>
    <n v="1073609043"/>
  </r>
  <r>
    <x v="142"/>
    <x v="142"/>
    <x v="11"/>
    <n v="143886"/>
    <d v="2018-02-04T00:00:00"/>
    <s v="yashvivarghese@kuruvilla-chand.com"/>
    <n v="1571694318"/>
    <x v="2"/>
    <x v="4"/>
    <x v="0"/>
    <x v="2"/>
    <n v="1571694318"/>
  </r>
  <r>
    <x v="143"/>
    <x v="143"/>
    <x v="3"/>
    <n v="35527"/>
    <d v="2018-11-14T00:00:00"/>
    <s v="onkarsidhu@hotmail.com"/>
    <n v="1045939103"/>
    <x v="3"/>
    <x v="4"/>
    <x v="1"/>
    <x v="1"/>
    <n v="1045939103"/>
  </r>
  <r>
    <x v="144"/>
    <x v="144"/>
    <x v="11"/>
    <n v="112602"/>
    <d v="2026-02-27T00:00:00"/>
    <s v="tswaminathansami@gmail.com"/>
    <n v="1218869458"/>
    <x v="3"/>
    <x v="4"/>
    <x v="0"/>
    <x v="9"/>
    <n v="1218869458"/>
  </r>
  <r>
    <x v="145"/>
    <x v="145"/>
    <x v="39"/>
    <n v="69787"/>
    <d v="2026-03-01T00:00:00"/>
    <s v="qsharaf@gmail.com"/>
    <n v="7324310251"/>
    <x v="1"/>
    <x v="0"/>
    <x v="0"/>
    <x v="17"/>
    <n v="7324310251"/>
  </r>
  <r>
    <x v="146"/>
    <x v="146"/>
    <x v="3"/>
    <n v="143886"/>
    <d v="2016-08-19T00:00:00"/>
    <s v="lkarpebutala.net"/>
    <n v="3816377260"/>
    <x v="4"/>
    <x v="0"/>
    <x v="0"/>
    <x v="2"/>
    <n v="3816377260"/>
  </r>
  <r>
    <x v="147"/>
    <x v="147"/>
    <x v="3"/>
    <n v="39573"/>
    <d v="2019-09-21T00:00:00"/>
    <s v="riaan15@yahoo.com"/>
    <n v="6550336363"/>
    <x v="1"/>
    <x v="0"/>
    <x v="0"/>
    <x v="1"/>
    <n v="6550336363"/>
  </r>
  <r>
    <x v="148"/>
    <x v="148"/>
    <x v="8"/>
    <n v="5000"/>
    <d v="2016-08-09T00:00:00"/>
    <s v="lbava@kaul.com"/>
    <n v="4859578201"/>
    <x v="3"/>
    <x v="0"/>
    <x v="1"/>
    <x v="12"/>
    <n v="4859578201"/>
  </r>
  <r>
    <x v="149"/>
    <x v="149"/>
    <x v="8"/>
    <n v="61347"/>
    <d v="2022-09-07T00:00:00"/>
    <s v="alia14@gmail.com"/>
    <n v="3183291585"/>
    <x v="3"/>
    <x v="2"/>
    <x v="0"/>
    <x v="1"/>
    <n v="3183291585"/>
  </r>
  <r>
    <x v="150"/>
    <x v="150"/>
    <x v="40"/>
    <n v="127430"/>
    <d v="2019-06-05T00:00:00"/>
    <s v="aaina06@dash.biz"/>
    <n v="9273312026"/>
    <x v="1"/>
    <x v="0"/>
    <x v="0"/>
    <x v="1"/>
    <n v="9273312026"/>
  </r>
  <r>
    <x v="151"/>
    <x v="151"/>
    <x v="32"/>
    <n v="143886"/>
    <d v="2021-12-27T00:00:00"/>
    <s v="baiju87@master.com"/>
    <n v="4677843321"/>
    <x v="1"/>
    <x v="4"/>
    <x v="0"/>
    <x v="21"/>
    <n v="4677843321"/>
  </r>
  <r>
    <x v="152"/>
    <x v="152"/>
    <x v="3"/>
    <n v="143886"/>
    <d v="2021-11-01T00:00:00"/>
    <s v="kbhargavagmail@gmail.com"/>
    <n v="9887880050"/>
    <x v="1"/>
    <x v="2"/>
    <x v="0"/>
    <x v="0"/>
    <n v="9887880050"/>
  </r>
  <r>
    <x v="153"/>
    <x v="153"/>
    <x v="4"/>
    <n v="143886"/>
    <d v="2023-09-06T00:00:00"/>
    <s v="khatrinirvaan@mammen.biz"/>
    <n v="7297954211"/>
    <x v="1"/>
    <x v="1"/>
    <x v="0"/>
    <x v="2"/>
    <n v="7297954211"/>
  </r>
  <r>
    <x v="154"/>
    <x v="154"/>
    <x v="4"/>
    <n v="5000"/>
    <d v="2017-05-25T00:00:00"/>
    <s v="aaravgade@mani.com"/>
    <n v="4698497711"/>
    <x v="4"/>
    <x v="3"/>
    <x v="1"/>
    <x v="2"/>
    <n v="4698497711"/>
  </r>
  <r>
    <x v="155"/>
    <x v="155"/>
    <x v="3"/>
    <n v="493932"/>
    <d v="2022-07-23T00:00:00"/>
    <s v="onkar03@hotmail.com"/>
    <n v="8339557900"/>
    <x v="1"/>
    <x v="0"/>
    <x v="0"/>
    <x v="1"/>
    <n v="8339557900"/>
  </r>
  <r>
    <x v="156"/>
    <x v="156"/>
    <x v="23"/>
    <n v="42822"/>
    <d v="2020-11-27T00:00:00"/>
    <s v="Not available"/>
    <n v="4436760191"/>
    <x v="0"/>
    <x v="0"/>
    <x v="1"/>
    <x v="2"/>
    <n v="4436760191"/>
  </r>
  <r>
    <x v="157"/>
    <x v="157"/>
    <x v="41"/>
    <n v="130042"/>
    <d v="2025-07-28T00:00:00"/>
    <s v="bajajrasha@hotmail.com"/>
    <n v="4616570981"/>
    <x v="3"/>
    <x v="1"/>
    <x v="0"/>
    <x v="0"/>
    <n v="4616570981"/>
  </r>
  <r>
    <x v="158"/>
    <x v="158"/>
    <x v="4"/>
    <n v="143886"/>
    <d v="2022-11-12T00:00:00"/>
    <s v="anayrout@comar.com"/>
    <n v="2801658547"/>
    <x v="1"/>
    <x v="1"/>
    <x v="0"/>
    <x v="2"/>
    <n v="2801658547"/>
  </r>
  <r>
    <x v="159"/>
    <x v="159"/>
    <x v="42"/>
    <n v="41825"/>
    <d v="2019-06-21T00:00:00"/>
    <s v="gatikjain@hotmail.com"/>
    <n v="9027"/>
    <x v="0"/>
    <x v="1"/>
    <x v="0"/>
    <x v="1"/>
    <s v="Not Available"/>
  </r>
  <r>
    <x v="160"/>
    <x v="160"/>
    <x v="3"/>
    <n v="5000"/>
    <d v="2022-02-05T00:00:00"/>
    <s v="hsoman@hotmail.com"/>
    <n v="1960428574"/>
    <x v="0"/>
    <x v="1"/>
    <x v="1"/>
    <x v="12"/>
    <n v="1960428574"/>
  </r>
  <r>
    <x v="161"/>
    <x v="161"/>
    <x v="43"/>
    <n v="91116"/>
    <d v="2025-05-12T00:00:00"/>
    <s v="fshukla@hotmail.com"/>
    <n v="9982513934"/>
    <x v="3"/>
    <x v="0"/>
    <x v="1"/>
    <x v="14"/>
    <n v="9982513934"/>
  </r>
  <r>
    <x v="162"/>
    <x v="162"/>
    <x v="27"/>
    <n v="183570"/>
    <d v="2023-10-16T00:00:00"/>
    <s v="hrishitadada@gmail.com"/>
    <n v="8123019885"/>
    <x v="4"/>
    <x v="0"/>
    <x v="0"/>
    <x v="0"/>
    <n v="8123019885"/>
  </r>
  <r>
    <x v="163"/>
    <x v="163"/>
    <x v="3"/>
    <n v="289113"/>
    <d v="2024-05-31T00:00:00"/>
    <s v="vanya91@jha.com"/>
    <n v="7656916747"/>
    <x v="1"/>
    <x v="4"/>
    <x v="1"/>
    <x v="1"/>
    <n v="7656916747"/>
  </r>
  <r>
    <x v="164"/>
    <x v="164"/>
    <x v="33"/>
    <n v="432863"/>
    <d v="2018-03-14T00:00:00"/>
    <s v="manjaribobal@dave.net"/>
    <n v="2849833891"/>
    <x v="1"/>
    <x v="0"/>
    <x v="0"/>
    <x v="0"/>
    <n v="2849833891"/>
  </r>
  <r>
    <x v="165"/>
    <x v="165"/>
    <x v="4"/>
    <n v="5000"/>
    <d v="2018-03-12T00:00:00"/>
    <s v="ukarpe@mand.com"/>
    <n v="1895346688"/>
    <x v="0"/>
    <x v="0"/>
    <x v="1"/>
    <x v="0"/>
    <n v="1895346688"/>
  </r>
  <r>
    <x v="166"/>
    <x v="166"/>
    <x v="27"/>
    <n v="138404"/>
    <d v="2024-02-11T00:00:00"/>
    <s v="adhaliwal@uppal.biz"/>
    <n v="7496371378"/>
    <x v="1"/>
    <x v="0"/>
    <x v="0"/>
    <x v="0"/>
    <n v="7496371378"/>
  </r>
  <r>
    <x v="167"/>
    <x v="167"/>
    <x v="44"/>
    <n v="143886"/>
    <d v="2017-01-02T00:00:00"/>
    <s v="mamootykale@gmail.com"/>
    <n v="6500359940"/>
    <x v="3"/>
    <x v="3"/>
    <x v="1"/>
    <x v="2"/>
    <n v="6500359940"/>
  </r>
  <r>
    <x v="168"/>
    <x v="168"/>
    <x v="3"/>
    <n v="143886"/>
    <d v="2025-03-06T00:00:00"/>
    <s v="nmander@dass-kota.info"/>
    <n v="1984517392"/>
    <x v="3"/>
    <x v="0"/>
    <x v="0"/>
    <x v="2"/>
    <n v="1984517392"/>
  </r>
  <r>
    <x v="169"/>
    <x v="169"/>
    <x v="12"/>
    <n v="223986"/>
    <d v="2024-01-16T00:00:00"/>
    <s v="indrans03@gmail.com"/>
    <n v="315574673"/>
    <x v="3"/>
    <x v="3"/>
    <x v="0"/>
    <x v="0"/>
    <s v="Not Available"/>
  </r>
  <r>
    <x v="170"/>
    <x v="170"/>
    <x v="45"/>
    <n v="143886"/>
    <d v="2023-03-20T00:00:00"/>
    <s v="edoshi@gmail.com"/>
    <n v="5517147419"/>
    <x v="2"/>
    <x v="0"/>
    <x v="0"/>
    <x v="0"/>
    <n v="5517147419"/>
  </r>
  <r>
    <x v="171"/>
    <x v="171"/>
    <x v="25"/>
    <n v="143886"/>
    <d v="2022-12-06T00:00:00"/>
    <s v="samar15ratta-kanda.org"/>
    <n v="1647809681"/>
    <x v="0"/>
    <x v="0"/>
    <x v="1"/>
    <x v="2"/>
    <n v="1647809681"/>
  </r>
  <r>
    <x v="172"/>
    <x v="172"/>
    <x v="3"/>
    <n v="104158"/>
    <d v="2017-05-28T00:00:00"/>
    <s v="aarush53@halder-dash.info"/>
    <n v="1871226941"/>
    <x v="4"/>
    <x v="2"/>
    <x v="1"/>
    <x v="0"/>
    <n v="1871226941"/>
  </r>
  <r>
    <x v="173"/>
    <x v="173"/>
    <x v="46"/>
    <n v="143886"/>
    <d v="2018-02-03T00:00:00"/>
    <s v="hazel98@hotmail.com"/>
    <n v="6841276927"/>
    <x v="1"/>
    <x v="4"/>
    <x v="0"/>
    <x v="1"/>
    <n v="6841276927"/>
  </r>
  <r>
    <x v="174"/>
    <x v="174"/>
    <x v="47"/>
    <n v="5000"/>
    <d v="2020-04-27T00:00:00"/>
    <s v="Not available"/>
    <n v="588524494"/>
    <x v="4"/>
    <x v="4"/>
    <x v="1"/>
    <x v="18"/>
    <s v="Not Available"/>
  </r>
  <r>
    <x v="175"/>
    <x v="175"/>
    <x v="3"/>
    <n v="5000"/>
    <d v="2019-08-01T00:00:00"/>
    <s v="hganguly@jani.com"/>
    <n v="8333002491"/>
    <x v="3"/>
    <x v="1"/>
    <x v="0"/>
    <x v="2"/>
    <n v="8333002491"/>
  </r>
  <r>
    <x v="176"/>
    <x v="176"/>
    <x v="48"/>
    <n v="354949"/>
    <d v="2024-03-06T00:00:00"/>
    <s v="sanghvisara@mallick.com"/>
    <n v="9336231474"/>
    <x v="2"/>
    <x v="2"/>
    <x v="1"/>
    <x v="0"/>
    <n v="9336231474"/>
  </r>
  <r>
    <x v="177"/>
    <x v="177"/>
    <x v="3"/>
    <n v="143886"/>
    <d v="2018-11-19T00:00:00"/>
    <s v="msubramaniam@sharaf-bala.com"/>
    <n v="4321751343"/>
    <x v="1"/>
    <x v="2"/>
    <x v="0"/>
    <x v="2"/>
    <n v="4321751343"/>
  </r>
  <r>
    <x v="178"/>
    <x v="178"/>
    <x v="3"/>
    <n v="145492"/>
    <d v="2019-07-30T00:00:00"/>
    <s v="riaansharma@keer-raval.net"/>
    <n v="6580283737"/>
    <x v="0"/>
    <x v="3"/>
    <x v="0"/>
    <x v="2"/>
    <n v="6580283737"/>
  </r>
  <r>
    <x v="179"/>
    <x v="179"/>
    <x v="3"/>
    <n v="143886"/>
    <d v="2023-04-17T00:00:00"/>
    <s v="tatayuvraj@kunda.com"/>
    <n v="3635694125"/>
    <x v="3"/>
    <x v="4"/>
    <x v="1"/>
    <x v="2"/>
    <n v="3635694125"/>
  </r>
  <r>
    <x v="180"/>
    <x v="180"/>
    <x v="0"/>
    <n v="143886"/>
    <d v="2023-08-16T00:00:00"/>
    <s v="jayesh67@devan.com"/>
    <n v="2698093448"/>
    <x v="1"/>
    <x v="0"/>
    <x v="0"/>
    <x v="22"/>
    <n v="2698093448"/>
  </r>
  <r>
    <x v="181"/>
    <x v="181"/>
    <x v="3"/>
    <n v="46714"/>
    <d v="2020-10-30T00:00:00"/>
    <s v="sibalsumer@gmail.com"/>
    <n v="2448683278"/>
    <x v="3"/>
    <x v="2"/>
    <x v="0"/>
    <x v="3"/>
    <n v="2448683278"/>
  </r>
  <r>
    <x v="182"/>
    <x v="182"/>
    <x v="4"/>
    <n v="275272"/>
    <d v="2016-08-05T00:00:00"/>
    <s v="vardaniyasavant@yahoo.com"/>
    <n v="8027632276"/>
    <x v="1"/>
    <x v="1"/>
    <x v="0"/>
    <x v="23"/>
    <n v="8027632276"/>
  </r>
  <r>
    <x v="183"/>
    <x v="183"/>
    <x v="19"/>
    <n v="375517"/>
    <d v="2024-12-13T00:00:00"/>
    <s v="kismat52@gaba.biz"/>
    <n v="4668859463"/>
    <x v="1"/>
    <x v="0"/>
    <x v="0"/>
    <x v="1"/>
    <n v="4668859463"/>
  </r>
  <r>
    <x v="184"/>
    <x v="184"/>
    <x v="40"/>
    <n v="5000"/>
    <d v="2026-01-28T00:00:00"/>
    <s v="raokeya@yahoo.com"/>
    <n v="2718206928"/>
    <x v="1"/>
    <x v="2"/>
    <x v="0"/>
    <x v="0"/>
    <n v="2718206928"/>
  </r>
  <r>
    <x v="185"/>
    <x v="185"/>
    <x v="3"/>
    <n v="468929"/>
    <d v="2025-08-07T00:00:00"/>
    <s v="shenoyelakshi@yahoo.com"/>
    <n v="3935700495"/>
    <x v="1"/>
    <x v="0"/>
    <x v="0"/>
    <x v="2"/>
    <n v="3935700495"/>
  </r>
  <r>
    <x v="186"/>
    <x v="186"/>
    <x v="49"/>
    <n v="5000"/>
    <d v="2018-12-11T00:00:00"/>
    <s v="yuvaan35@yahoo.com"/>
    <n v="6989807375"/>
    <x v="2"/>
    <x v="2"/>
    <x v="0"/>
    <x v="0"/>
    <n v="6989807375"/>
  </r>
  <r>
    <x v="187"/>
    <x v="187"/>
    <x v="17"/>
    <n v="204924"/>
    <d v="2025-01-24T00:00:00"/>
    <s v="raghavbhaktagmail@gmail.com"/>
    <n v="9750706581"/>
    <x v="4"/>
    <x v="3"/>
    <x v="0"/>
    <x v="0"/>
    <n v="9750706581"/>
  </r>
  <r>
    <x v="188"/>
    <x v="188"/>
    <x v="3"/>
    <n v="191547"/>
    <d v="2021-10-18T00:00:00"/>
    <s v="Not available"/>
    <n v="4221992005"/>
    <x v="2"/>
    <x v="0"/>
    <x v="0"/>
    <x v="1"/>
    <n v="4221992005"/>
  </r>
  <r>
    <x v="189"/>
    <x v="189"/>
    <x v="50"/>
    <n v="143886"/>
    <d v="2023-02-28T00:00:00"/>
    <s v="aliashankar@dara.com"/>
    <n v="8013343193"/>
    <x v="2"/>
    <x v="3"/>
    <x v="0"/>
    <x v="1"/>
    <n v="8013343193"/>
  </r>
  <r>
    <x v="190"/>
    <x v="190"/>
    <x v="3"/>
    <n v="437643"/>
    <d v="2023-09-11T00:00:00"/>
    <s v="athakkar@hotmail.com"/>
    <n v="7699671906"/>
    <x v="3"/>
    <x v="0"/>
    <x v="1"/>
    <x v="24"/>
    <n v="7699671906"/>
  </r>
  <r>
    <x v="191"/>
    <x v="191"/>
    <x v="4"/>
    <n v="197122"/>
    <d v="2025-12-28T00:00:00"/>
    <s v="tgoel@bumb-khalsa.com"/>
    <n v="6696209877"/>
    <x v="3"/>
    <x v="0"/>
    <x v="1"/>
    <x v="2"/>
    <n v="6696209877"/>
  </r>
  <r>
    <x v="192"/>
    <x v="192"/>
    <x v="3"/>
    <n v="143886"/>
    <d v="2025-08-29T00:00:00"/>
    <s v="arhaan84@behl.com"/>
    <n v="5707508109"/>
    <x v="1"/>
    <x v="0"/>
    <x v="0"/>
    <x v="1"/>
    <n v="5707508109"/>
  </r>
  <r>
    <x v="193"/>
    <x v="193"/>
    <x v="3"/>
    <n v="143886"/>
    <d v="2023-11-18T00:00:00"/>
    <s v="oganesan@barman.com"/>
    <n v="8689616267"/>
    <x v="1"/>
    <x v="0"/>
    <x v="0"/>
    <x v="0"/>
    <n v="8689616267"/>
  </r>
  <r>
    <x v="194"/>
    <x v="194"/>
    <x v="3"/>
    <n v="125079"/>
    <d v="2025-12-10T00:00:00"/>
    <s v="ishaan58gmail@gmail.com"/>
    <n v="2765144778"/>
    <x v="4"/>
    <x v="0"/>
    <x v="0"/>
    <x v="14"/>
    <n v="2765144778"/>
  </r>
  <r>
    <x v="195"/>
    <x v="195"/>
    <x v="4"/>
    <n v="5000"/>
    <d v="2018-10-17T00:00:00"/>
    <s v="dsachar@yogi.info"/>
    <n v="9139972473"/>
    <x v="1"/>
    <x v="2"/>
    <x v="1"/>
    <x v="1"/>
    <n v="9139972473"/>
  </r>
  <r>
    <x v="196"/>
    <x v="196"/>
    <x v="3"/>
    <n v="143886"/>
    <d v="2021-11-29T00:00:00"/>
    <s v="wborde@soman-buch.net"/>
    <n v="2084246652"/>
    <x v="4"/>
    <x v="2"/>
    <x v="1"/>
    <x v="5"/>
    <n v="2084246652"/>
  </r>
  <r>
    <x v="197"/>
    <x v="197"/>
    <x v="23"/>
    <n v="143886"/>
    <d v="2019-02-05T00:00:00"/>
    <s v="lallauthkarsh@deshpande.biz"/>
    <n v="95005"/>
    <x v="1"/>
    <x v="0"/>
    <x v="0"/>
    <x v="1"/>
    <s v="Not Available"/>
  </r>
  <r>
    <x v="198"/>
    <x v="198"/>
    <x v="3"/>
    <n v="143886"/>
    <d v="2016-11-21T00:00:00"/>
    <s v="balakrishnanaliayahoo@gmail.com"/>
    <n v="3170526395"/>
    <x v="1"/>
    <x v="4"/>
    <x v="0"/>
    <x v="0"/>
    <n v="3170526395"/>
  </r>
  <r>
    <x v="199"/>
    <x v="199"/>
    <x v="4"/>
    <n v="139418"/>
    <d v="2019-08-14T00:00:00"/>
    <s v="mamooty04@hotmail.com"/>
    <n v="5734192700"/>
    <x v="4"/>
    <x v="3"/>
    <x v="0"/>
    <x v="1"/>
    <n v="5734192700"/>
  </r>
  <r>
    <x v="200"/>
    <x v="200"/>
    <x v="4"/>
    <n v="5000"/>
    <d v="2017-12-27T00:00:00"/>
    <s v="golasana@deol.net"/>
    <n v="2621410271"/>
    <x v="1"/>
    <x v="0"/>
    <x v="0"/>
    <x v="0"/>
    <n v="2621410271"/>
  </r>
  <r>
    <x v="201"/>
    <x v="201"/>
    <x v="51"/>
    <n v="143886"/>
    <d v="2023-07-05T00:00:00"/>
    <s v="bedidivyansh@yahoo.com"/>
    <n v="8721162834"/>
    <x v="1"/>
    <x v="2"/>
    <x v="0"/>
    <x v="23"/>
    <n v="8721162834"/>
  </r>
  <r>
    <x v="202"/>
    <x v="202"/>
    <x v="52"/>
    <n v="143886"/>
    <d v="2023-03-14T00:00:00"/>
    <s v="wmanivasa@gmail.com"/>
    <n v="1194895264"/>
    <x v="1"/>
    <x v="0"/>
    <x v="0"/>
    <x v="2"/>
    <n v="1194895264"/>
  </r>
  <r>
    <x v="203"/>
    <x v="203"/>
    <x v="3"/>
    <n v="143886"/>
    <d v="2021-11-07T00:00:00"/>
    <s v="navyadasgupta@yahoo.com"/>
    <n v="32894"/>
    <x v="1"/>
    <x v="0"/>
    <x v="0"/>
    <x v="1"/>
    <s v="Not Available"/>
  </r>
  <r>
    <x v="204"/>
    <x v="204"/>
    <x v="4"/>
    <n v="5000"/>
    <d v="2026-01-18T00:00:00"/>
    <s v="yashvisrinivas@yahoo.com"/>
    <n v="7770482359"/>
    <x v="3"/>
    <x v="0"/>
    <x v="0"/>
    <x v="12"/>
    <n v="7770482359"/>
  </r>
  <r>
    <x v="205"/>
    <x v="205"/>
    <x v="3"/>
    <n v="143886"/>
    <d v="2016-08-18T00:00:00"/>
    <s v="abath@hotmail.com"/>
    <n v="5713645438"/>
    <x v="1"/>
    <x v="0"/>
    <x v="0"/>
    <x v="2"/>
    <n v="5713645438"/>
  </r>
  <r>
    <x v="206"/>
    <x v="206"/>
    <x v="25"/>
    <n v="406540"/>
    <d v="2021-10-28T00:00:00"/>
    <s v="shraydara@khalsa.com"/>
    <n v="1295977832"/>
    <x v="2"/>
    <x v="0"/>
    <x v="0"/>
    <x v="2"/>
    <n v="1295977832"/>
  </r>
  <r>
    <x v="207"/>
    <x v="207"/>
    <x v="18"/>
    <n v="5000"/>
    <d v="2022-03-06T00:00:00"/>
    <s v="Not available"/>
    <n v="6836643956"/>
    <x v="3"/>
    <x v="0"/>
    <x v="1"/>
    <x v="2"/>
    <n v="6836643956"/>
  </r>
  <r>
    <x v="208"/>
    <x v="208"/>
    <x v="28"/>
    <n v="5000"/>
    <d v="2018-03-13T00:00:00"/>
    <s v="bakshihansh@yahoo.com"/>
    <n v="1287494344"/>
    <x v="3"/>
    <x v="0"/>
    <x v="0"/>
    <x v="1"/>
    <n v="1287494344"/>
  </r>
  <r>
    <x v="209"/>
    <x v="209"/>
    <x v="3"/>
    <n v="427011"/>
    <d v="2023-11-24T00:00:00"/>
    <s v="qsharafhotmail@gmail.com"/>
    <n v="2658509903"/>
    <x v="4"/>
    <x v="0"/>
    <x v="0"/>
    <x v="2"/>
    <n v="2658509903"/>
  </r>
  <r>
    <x v="210"/>
    <x v="210"/>
    <x v="3"/>
    <n v="228014"/>
    <d v="2019-06-22T00:00:00"/>
    <s v="sachdevafaiyaz@butala-ray.com"/>
    <n v="2414660280"/>
    <x v="3"/>
    <x v="2"/>
    <x v="1"/>
    <x v="1"/>
    <n v="2414660280"/>
  </r>
  <r>
    <x v="211"/>
    <x v="211"/>
    <x v="3"/>
    <n v="402089"/>
    <d v="2023-01-26T00:00:00"/>
    <s v="drishyakhanna@sachdev-de.org"/>
    <n v="3019763626"/>
    <x v="0"/>
    <x v="3"/>
    <x v="1"/>
    <x v="2"/>
    <n v="3019763626"/>
  </r>
  <r>
    <x v="212"/>
    <x v="212"/>
    <x v="3"/>
    <n v="97916"/>
    <d v="2020-04-24T00:00:00"/>
    <s v="suhana21@lal.com"/>
    <n v="6230118475"/>
    <x v="3"/>
    <x v="0"/>
    <x v="1"/>
    <x v="0"/>
    <n v="6230118475"/>
  </r>
  <r>
    <x v="213"/>
    <x v="213"/>
    <x v="10"/>
    <n v="139905"/>
    <d v="2019-11-10T00:00:00"/>
    <s v="vedika37sridhar-ramesh@gmail.com"/>
    <n v="3655860660"/>
    <x v="1"/>
    <x v="0"/>
    <x v="1"/>
    <x v="2"/>
    <n v="3655860660"/>
  </r>
  <r>
    <x v="214"/>
    <x v="214"/>
    <x v="3"/>
    <n v="5000"/>
    <d v="2022-06-18T00:00:00"/>
    <s v="hansh07@hotmail.com"/>
    <n v="6673253924"/>
    <x v="1"/>
    <x v="0"/>
    <x v="0"/>
    <x v="0"/>
    <n v="6673253924"/>
  </r>
  <r>
    <x v="215"/>
    <x v="215"/>
    <x v="3"/>
    <n v="143886"/>
    <d v="2017-12-18T00:00:00"/>
    <s v="kavyagade@hotmail.com"/>
    <n v="8596034884"/>
    <x v="1"/>
    <x v="0"/>
    <x v="0"/>
    <x v="25"/>
    <n v="8596034884"/>
  </r>
  <r>
    <x v="216"/>
    <x v="216"/>
    <x v="3"/>
    <n v="143886"/>
    <d v="2018-02-15T00:00:00"/>
    <s v="hbanerjee@basu.com"/>
    <n v="8489652193"/>
    <x v="0"/>
    <x v="2"/>
    <x v="0"/>
    <x v="0"/>
    <n v="8489652193"/>
  </r>
  <r>
    <x v="217"/>
    <x v="217"/>
    <x v="3"/>
    <n v="115651"/>
    <d v="2025-06-13T00:00:00"/>
    <s v="saanvi80@dua-dhillon.com"/>
    <n v="5140178202"/>
    <x v="1"/>
    <x v="0"/>
    <x v="0"/>
    <x v="25"/>
    <n v="5140178202"/>
  </r>
  <r>
    <x v="218"/>
    <x v="218"/>
    <x v="4"/>
    <n v="143886"/>
    <d v="2025-06-04T00:00:00"/>
    <s v="vohrasamiha@gmail.com"/>
    <n v="1071566649"/>
    <x v="4"/>
    <x v="0"/>
    <x v="0"/>
    <x v="2"/>
    <n v="1071566649"/>
  </r>
  <r>
    <x v="219"/>
    <x v="219"/>
    <x v="3"/>
    <n v="5000"/>
    <d v="2019-04-14T00:00:00"/>
    <s v="hdhawan@hotmail.com"/>
    <n v="9339812305"/>
    <x v="3"/>
    <x v="3"/>
    <x v="0"/>
    <x v="1"/>
    <n v="9339812305"/>
  </r>
  <r>
    <x v="220"/>
    <x v="220"/>
    <x v="18"/>
    <n v="5000"/>
    <d v="2021-07-15T00:00:00"/>
    <s v="samairakarnik@hotmail.com"/>
    <n v="9732281062"/>
    <x v="0"/>
    <x v="2"/>
    <x v="1"/>
    <x v="1"/>
    <n v="9732281062"/>
  </r>
  <r>
    <x v="221"/>
    <x v="221"/>
    <x v="4"/>
    <n v="5000"/>
    <d v="2021-07-10T00:00:00"/>
    <s v="tusharde@sarna.net"/>
    <n v="7440832725"/>
    <x v="1"/>
    <x v="0"/>
    <x v="1"/>
    <x v="26"/>
    <n v="7440832725"/>
  </r>
  <r>
    <x v="222"/>
    <x v="222"/>
    <x v="20"/>
    <n v="5000"/>
    <d v="2021-12-14T00:00:00"/>
    <s v="mehuldeep@divan.biz"/>
    <n v="82308"/>
    <x v="1"/>
    <x v="3"/>
    <x v="0"/>
    <x v="0"/>
    <s v="Not Available"/>
  </r>
  <r>
    <x v="223"/>
    <x v="223"/>
    <x v="3"/>
    <n v="143886"/>
    <d v="2022-03-17T00:00:00"/>
    <s v="ymahal@gmail.com"/>
    <n v="6180525172"/>
    <x v="2"/>
    <x v="3"/>
    <x v="0"/>
    <x v="0"/>
    <n v="6180525172"/>
  </r>
  <r>
    <x v="224"/>
    <x v="224"/>
    <x v="53"/>
    <n v="5000"/>
    <d v="2025-09-30T00:00:00"/>
    <s v="hazeldube@gmail.com"/>
    <n v="4640095285"/>
    <x v="0"/>
    <x v="0"/>
    <x v="0"/>
    <x v="0"/>
    <n v="4640095285"/>
  </r>
  <r>
    <x v="225"/>
    <x v="225"/>
    <x v="5"/>
    <n v="110771"/>
    <d v="2024-10-25T00:00:00"/>
    <s v="nayantara98@bail.info"/>
    <n v="3547893337"/>
    <x v="4"/>
    <x v="1"/>
    <x v="0"/>
    <x v="1"/>
    <n v="3547893337"/>
  </r>
  <r>
    <x v="226"/>
    <x v="226"/>
    <x v="8"/>
    <n v="290207"/>
    <d v="2022-05-20T00:00:00"/>
    <s v="raunak76@malhotra-buch.info"/>
    <n v="50809"/>
    <x v="4"/>
    <x v="0"/>
    <x v="1"/>
    <x v="0"/>
    <s v="Not Available"/>
  </r>
  <r>
    <x v="227"/>
    <x v="227"/>
    <x v="3"/>
    <n v="5000"/>
    <d v="2022-03-16T00:00:00"/>
    <s v="shayak08@ghose-issac.com"/>
    <n v="8362477084"/>
    <x v="1"/>
    <x v="2"/>
    <x v="0"/>
    <x v="27"/>
    <n v="8362477084"/>
  </r>
  <r>
    <x v="228"/>
    <x v="228"/>
    <x v="42"/>
    <n v="143886"/>
    <d v="2025-01-03T00:00:00"/>
    <s v="sekhonaniruddh@yahoo.com"/>
    <n v="891372577"/>
    <x v="3"/>
    <x v="0"/>
    <x v="0"/>
    <x v="0"/>
    <s v="Not Available"/>
  </r>
  <r>
    <x v="229"/>
    <x v="229"/>
    <x v="3"/>
    <n v="474998"/>
    <d v="2020-02-09T00:00:00"/>
    <s v="eva50@hotmail.com"/>
    <n v="9009942348"/>
    <x v="0"/>
    <x v="4"/>
    <x v="0"/>
    <x v="1"/>
    <n v="9009942348"/>
  </r>
  <r>
    <x v="230"/>
    <x v="230"/>
    <x v="3"/>
    <n v="73818"/>
    <d v="2025-11-12T00:00:00"/>
    <s v="msem@khare.org"/>
    <n v="4028090288"/>
    <x v="0"/>
    <x v="1"/>
    <x v="1"/>
    <x v="6"/>
    <n v="4028090288"/>
  </r>
  <r>
    <x v="231"/>
    <x v="231"/>
    <x v="38"/>
    <n v="179508"/>
    <d v="2020-07-09T00:00:00"/>
    <s v="dtiwari@gmail.com"/>
    <n v="7364072022"/>
    <x v="3"/>
    <x v="3"/>
    <x v="0"/>
    <x v="1"/>
    <n v="7364072022"/>
  </r>
  <r>
    <x v="232"/>
    <x v="232"/>
    <x v="4"/>
    <n v="5000"/>
    <d v="2016-08-11T00:00:00"/>
    <s v="ykrish@basak.com"/>
    <n v="75337623"/>
    <x v="0"/>
    <x v="0"/>
    <x v="0"/>
    <x v="1"/>
    <s v="Not Available"/>
  </r>
  <r>
    <x v="233"/>
    <x v="233"/>
    <x v="42"/>
    <n v="152910"/>
    <d v="2026-03-02T00:00:00"/>
    <s v="jayaramannishithbhattacharyya.biz"/>
    <n v="3458211153"/>
    <x v="0"/>
    <x v="0"/>
    <x v="0"/>
    <x v="2"/>
    <n v="3458211153"/>
  </r>
  <r>
    <x v="234"/>
    <x v="234"/>
    <x v="3"/>
    <n v="143886"/>
    <d v="2017-12-06T00:00:00"/>
    <s v="anneseher@hotmail.com"/>
    <n v="9786945781"/>
    <x v="4"/>
    <x v="2"/>
    <x v="1"/>
    <x v="2"/>
    <n v="9786945781"/>
  </r>
  <r>
    <x v="235"/>
    <x v="235"/>
    <x v="3"/>
    <n v="5000"/>
    <d v="2021-06-06T00:00:00"/>
    <s v="darshitchandra@raja.com"/>
    <n v="5128901299"/>
    <x v="3"/>
    <x v="0"/>
    <x v="0"/>
    <x v="2"/>
    <n v="5128901299"/>
  </r>
  <r>
    <x v="236"/>
    <x v="236"/>
    <x v="50"/>
    <n v="143886"/>
    <d v="2021-06-19T00:00:00"/>
    <s v="zeeshan82@dugal.com"/>
    <n v="9882959608"/>
    <x v="0"/>
    <x v="0"/>
    <x v="0"/>
    <x v="7"/>
    <n v="9882959608"/>
  </r>
  <r>
    <x v="237"/>
    <x v="237"/>
    <x v="47"/>
    <n v="45893"/>
    <d v="2019-07-04T00:00:00"/>
    <s v="shayakchoudhary@brahmbhatt-karpe.net"/>
    <n v="2716628851"/>
    <x v="1"/>
    <x v="1"/>
    <x v="0"/>
    <x v="24"/>
    <n v="2716628851"/>
  </r>
  <r>
    <x v="238"/>
    <x v="238"/>
    <x v="33"/>
    <n v="50675"/>
    <d v="2017-05-29T00:00:00"/>
    <s v="lkhannadevan@gmail.com"/>
    <n v="97113"/>
    <x v="1"/>
    <x v="0"/>
    <x v="0"/>
    <x v="2"/>
    <s v="Not Available"/>
  </r>
  <r>
    <x v="239"/>
    <x v="239"/>
    <x v="51"/>
    <n v="5000"/>
    <d v="2025-10-05T00:00:00"/>
    <s v="slala@gmail.com"/>
    <n v="3782112410"/>
    <x v="1"/>
    <x v="0"/>
    <x v="1"/>
    <x v="24"/>
    <n v="3782112410"/>
  </r>
  <r>
    <x v="240"/>
    <x v="240"/>
    <x v="23"/>
    <n v="5000"/>
    <d v="2024-09-21T00:00:00"/>
    <s v="nishithmane@hotmail.com"/>
    <n v="7994075273"/>
    <x v="3"/>
    <x v="3"/>
    <x v="0"/>
    <x v="1"/>
    <n v="7994075273"/>
  </r>
  <r>
    <x v="241"/>
    <x v="241"/>
    <x v="3"/>
    <n v="143886"/>
    <d v="2024-07-03T00:00:00"/>
    <s v="kalamamooty@luthra.com"/>
    <n v="3346701267"/>
    <x v="1"/>
    <x v="1"/>
    <x v="0"/>
    <x v="2"/>
    <n v="3346701267"/>
  </r>
  <r>
    <x v="242"/>
    <x v="242"/>
    <x v="33"/>
    <n v="128575"/>
    <d v="2020-06-16T00:00:00"/>
    <s v="nityasrivastavayahoo@gmail.com"/>
    <n v="2858218823"/>
    <x v="3"/>
    <x v="0"/>
    <x v="0"/>
    <x v="1"/>
    <n v="2858218823"/>
  </r>
  <r>
    <x v="243"/>
    <x v="243"/>
    <x v="3"/>
    <n v="441227"/>
    <d v="2017-05-14T00:00:00"/>
    <s v="biju88@gara.com"/>
    <n v="7581901794"/>
    <x v="1"/>
    <x v="0"/>
    <x v="0"/>
    <x v="1"/>
    <n v="7581901794"/>
  </r>
  <r>
    <x v="244"/>
    <x v="244"/>
    <x v="6"/>
    <n v="143886"/>
    <d v="2016-12-12T00:00:00"/>
    <s v="anaya98@yahoo.com"/>
    <n v="7358192418"/>
    <x v="1"/>
    <x v="0"/>
    <x v="0"/>
    <x v="1"/>
    <n v="7358192418"/>
  </r>
  <r>
    <x v="245"/>
    <x v="97"/>
    <x v="3"/>
    <n v="5000"/>
    <d v="2021-04-15T00:00:00"/>
    <s v="guptanirvaan@yahoo.com"/>
    <n v="775385594"/>
    <x v="1"/>
    <x v="0"/>
    <x v="0"/>
    <x v="0"/>
    <s v="Not Available"/>
  </r>
  <r>
    <x v="246"/>
    <x v="245"/>
    <x v="54"/>
    <n v="308341"/>
    <d v="2023-08-18T00:00:00"/>
    <s v="elakshikhalsamann.org"/>
    <n v="13170"/>
    <x v="3"/>
    <x v="4"/>
    <x v="0"/>
    <x v="2"/>
    <s v="Not Available"/>
  </r>
  <r>
    <x v="247"/>
    <x v="246"/>
    <x v="4"/>
    <n v="140369"/>
    <d v="2017-03-08T00:00:00"/>
    <s v="baijubhasin@ganesan-de.com"/>
    <n v="7089033659"/>
    <x v="4"/>
    <x v="0"/>
    <x v="0"/>
    <x v="0"/>
    <n v="7089033659"/>
  </r>
  <r>
    <x v="248"/>
    <x v="247"/>
    <x v="4"/>
    <n v="143886"/>
    <d v="2026-02-03T00:00:00"/>
    <s v="uthkarsh10@sen-amble.info"/>
    <n v="4511941773"/>
    <x v="1"/>
    <x v="4"/>
    <x v="1"/>
    <x v="2"/>
    <n v="4511941773"/>
  </r>
  <r>
    <x v="249"/>
    <x v="248"/>
    <x v="3"/>
    <n v="143886"/>
    <d v="2018-11-19T00:00:00"/>
    <s v="sanakhosla@khatri.info"/>
    <n v="86197"/>
    <x v="1"/>
    <x v="2"/>
    <x v="0"/>
    <x v="28"/>
    <s v="Not Available"/>
  </r>
  <r>
    <x v="250"/>
    <x v="249"/>
    <x v="3"/>
    <n v="241895"/>
    <d v="2018-10-25T00:00:00"/>
    <s v="brahmbhattkartik@yahoo.com"/>
    <n v="6624314799"/>
    <x v="3"/>
    <x v="2"/>
    <x v="0"/>
    <x v="2"/>
    <n v="6624314799"/>
  </r>
  <r>
    <x v="251"/>
    <x v="250"/>
    <x v="3"/>
    <n v="143886"/>
    <d v="2017-07-24T00:00:00"/>
    <s v="ekuruvilla@gole.net"/>
    <n v="582274854"/>
    <x v="3"/>
    <x v="0"/>
    <x v="1"/>
    <x v="2"/>
    <s v="Not Available"/>
  </r>
  <r>
    <x v="252"/>
    <x v="251"/>
    <x v="4"/>
    <n v="143886"/>
    <d v="2022-04-10T00:00:00"/>
    <s v="ranbir65@gmail.com"/>
    <n v="6596946004"/>
    <x v="1"/>
    <x v="4"/>
    <x v="1"/>
    <x v="2"/>
    <n v="6596946004"/>
  </r>
  <r>
    <x v="253"/>
    <x v="252"/>
    <x v="41"/>
    <n v="5000"/>
    <d v="2020-09-20T00:00:00"/>
    <s v="jiya16@gmail.com"/>
    <n v="3161471379"/>
    <x v="4"/>
    <x v="3"/>
    <x v="1"/>
    <x v="22"/>
    <n v="3161471379"/>
  </r>
  <r>
    <x v="254"/>
    <x v="253"/>
    <x v="31"/>
    <n v="143886"/>
    <d v="2021-09-23T00:00:00"/>
    <s v="lakshay65@sarna.net"/>
    <n v="8817871293"/>
    <x v="2"/>
    <x v="1"/>
    <x v="1"/>
    <x v="0"/>
    <n v="8817871293"/>
  </r>
  <r>
    <x v="255"/>
    <x v="254"/>
    <x v="3"/>
    <n v="143886"/>
    <d v="2023-07-20T00:00:00"/>
    <s v="arhaansavant@yahoo.com"/>
    <n v="9044578070"/>
    <x v="1"/>
    <x v="0"/>
    <x v="0"/>
    <x v="29"/>
    <n v="9044578070"/>
  </r>
  <r>
    <x v="256"/>
    <x v="255"/>
    <x v="33"/>
    <n v="5000"/>
    <d v="2020-04-15T00:00:00"/>
    <s v="vritikakalla@gmail.com"/>
    <n v="6167430866"/>
    <x v="4"/>
    <x v="0"/>
    <x v="0"/>
    <x v="2"/>
    <n v="6167430866"/>
  </r>
  <r>
    <x v="257"/>
    <x v="256"/>
    <x v="4"/>
    <n v="143886"/>
    <d v="2026-01-28T00:00:00"/>
    <s v="devanshkant@yahoo.com"/>
    <n v="1074934635"/>
    <x v="2"/>
    <x v="1"/>
    <x v="0"/>
    <x v="2"/>
    <n v="1074934635"/>
  </r>
  <r>
    <x v="258"/>
    <x v="257"/>
    <x v="54"/>
    <n v="143886"/>
    <d v="2021-03-28T00:00:00"/>
    <s v="balakrishnanayesha@gmail.com"/>
    <n v="6695961204"/>
    <x v="0"/>
    <x v="0"/>
    <x v="1"/>
    <x v="30"/>
    <n v="6695961204"/>
  </r>
  <r>
    <x v="259"/>
    <x v="258"/>
    <x v="8"/>
    <n v="285611"/>
    <d v="2019-05-21T00:00:00"/>
    <s v="nakul41hegde-hans@gmail.com"/>
    <n v="84582"/>
    <x v="4"/>
    <x v="2"/>
    <x v="1"/>
    <x v="2"/>
    <s v="Not Available"/>
  </r>
  <r>
    <x v="260"/>
    <x v="259"/>
    <x v="3"/>
    <n v="135386"/>
    <d v="2022-09-11T00:00:00"/>
    <s v="tusharbehl@vohra.com"/>
    <n v="1571322038"/>
    <x v="1"/>
    <x v="0"/>
    <x v="0"/>
    <x v="31"/>
    <n v="1571322038"/>
  </r>
  <r>
    <x v="261"/>
    <x v="260"/>
    <x v="4"/>
    <n v="143886"/>
    <d v="2020-01-26T00:00:00"/>
    <s v="bmagar@hotmail.com"/>
    <n v="6717719851"/>
    <x v="1"/>
    <x v="4"/>
    <x v="0"/>
    <x v="2"/>
    <n v="6717719851"/>
  </r>
  <r>
    <x v="262"/>
    <x v="261"/>
    <x v="4"/>
    <n v="294745"/>
    <d v="2021-04-16T00:00:00"/>
    <s v="mannanishaan@gmail.com"/>
    <n v="6901629337"/>
    <x v="3"/>
    <x v="3"/>
    <x v="0"/>
    <x v="2"/>
    <n v="6901629337"/>
  </r>
  <r>
    <x v="263"/>
    <x v="262"/>
    <x v="3"/>
    <n v="5000"/>
    <d v="2026-11-04T00:00:00"/>
    <s v="bdutta@sandal.info"/>
    <n v="933915074"/>
    <x v="3"/>
    <x v="1"/>
    <x v="1"/>
    <x v="32"/>
    <s v="Not Available"/>
  </r>
  <r>
    <x v="264"/>
    <x v="263"/>
    <x v="0"/>
    <n v="238588"/>
    <d v="2017-01-12T00:00:00"/>
    <s v="jivikasuresh@dugar-balasubramanian.org"/>
    <n v="8743796096"/>
    <x v="0"/>
    <x v="0"/>
    <x v="0"/>
    <x v="0"/>
    <n v="8743796096"/>
  </r>
  <r>
    <x v="265"/>
    <x v="264"/>
    <x v="4"/>
    <n v="143886"/>
    <d v="2024-10-14T00:00:00"/>
    <s v="divyansh46ratti.biz"/>
    <n v="6285339978"/>
    <x v="4"/>
    <x v="4"/>
    <x v="0"/>
    <x v="0"/>
    <n v="6285339978"/>
  </r>
  <r>
    <x v="266"/>
    <x v="265"/>
    <x v="4"/>
    <n v="5000"/>
    <d v="2020-07-12T00:00:00"/>
    <s v="khushidubey@hotmail.com"/>
    <n v="3669352986"/>
    <x v="2"/>
    <x v="0"/>
    <x v="1"/>
    <x v="4"/>
    <n v="3669352986"/>
  </r>
  <r>
    <x v="267"/>
    <x v="266"/>
    <x v="3"/>
    <n v="110457"/>
    <d v="2016-08-09T00:00:00"/>
    <s v="mahika14@acharya.com"/>
    <n v="5840104391"/>
    <x v="4"/>
    <x v="2"/>
    <x v="0"/>
    <x v="1"/>
    <n v="5840104391"/>
  </r>
  <r>
    <x v="268"/>
    <x v="267"/>
    <x v="3"/>
    <n v="5000"/>
    <d v="2020-03-18T00:00:00"/>
    <s v="drishya79@hotmail.com"/>
    <n v="7637750618"/>
    <x v="2"/>
    <x v="0"/>
    <x v="1"/>
    <x v="0"/>
    <n v="7637750618"/>
  </r>
  <r>
    <x v="269"/>
    <x v="268"/>
    <x v="55"/>
    <n v="143886"/>
    <d v="2023-03-12T00:00:00"/>
    <s v="irameshyahoo@gmail.com"/>
    <n v="3216345620"/>
    <x v="1"/>
    <x v="0"/>
    <x v="1"/>
    <x v="1"/>
    <n v="3216345620"/>
  </r>
  <r>
    <x v="270"/>
    <x v="269"/>
    <x v="3"/>
    <n v="143886"/>
    <d v="2023-10-15T00:00:00"/>
    <s v="khushi59@srivastava.com"/>
    <n v="9400004999"/>
    <x v="1"/>
    <x v="0"/>
    <x v="0"/>
    <x v="1"/>
    <n v="9400004999"/>
  </r>
  <r>
    <x v="271"/>
    <x v="270"/>
    <x v="3"/>
    <n v="5000"/>
    <d v="2023-04-20T00:00:00"/>
    <s v="mandalsiyahotmail@gmail.com"/>
    <n v="4269247504"/>
    <x v="1"/>
    <x v="0"/>
    <x v="0"/>
    <x v="17"/>
    <n v="4269247504"/>
  </r>
  <r>
    <x v="272"/>
    <x v="271"/>
    <x v="3"/>
    <n v="143886"/>
    <d v="2023-05-02T00:00:00"/>
    <s v="navyaghoseyahoo@gmail.com"/>
    <n v="7374748144"/>
    <x v="0"/>
    <x v="4"/>
    <x v="1"/>
    <x v="1"/>
    <n v="7374748144"/>
  </r>
  <r>
    <x v="273"/>
    <x v="272"/>
    <x v="0"/>
    <n v="5000"/>
    <d v="2026-01-14T00:00:00"/>
    <s v="idharwadhwa.biz"/>
    <n v="8323947173"/>
    <x v="1"/>
    <x v="2"/>
    <x v="0"/>
    <x v="1"/>
    <n v="8323947173"/>
  </r>
  <r>
    <x v="274"/>
    <x v="273"/>
    <x v="56"/>
    <n v="89195"/>
    <d v="2024-06-21T00:00:00"/>
    <s v="prerak98setty@gmail.com"/>
    <n v="2512981595"/>
    <x v="2"/>
    <x v="1"/>
    <x v="0"/>
    <x v="1"/>
    <n v="2512981595"/>
  </r>
  <r>
    <x v="275"/>
    <x v="274"/>
    <x v="53"/>
    <n v="90275"/>
    <d v="2021-01-24T00:00:00"/>
    <s v="samihavasayahoo@gmail.com"/>
    <n v="7522812070"/>
    <x v="3"/>
    <x v="0"/>
    <x v="0"/>
    <x v="0"/>
    <n v="7522812070"/>
  </r>
  <r>
    <x v="276"/>
    <x v="275"/>
    <x v="3"/>
    <n v="182520"/>
    <d v="2018-02-26T00:00:00"/>
    <s v="kimayavohra@bhavsar.com"/>
    <n v="3858792286"/>
    <x v="0"/>
    <x v="1"/>
    <x v="0"/>
    <x v="1"/>
    <n v="3858792286"/>
  </r>
  <r>
    <x v="277"/>
    <x v="276"/>
    <x v="3"/>
    <n v="143886"/>
    <d v="2026-03-13T00:00:00"/>
    <s v="ksaha@iyer.net"/>
    <n v="5108588362"/>
    <x v="2"/>
    <x v="2"/>
    <x v="0"/>
    <x v="1"/>
    <n v="5108588362"/>
  </r>
  <r>
    <x v="278"/>
    <x v="277"/>
    <x v="4"/>
    <n v="205657"/>
    <d v="2018-06-25T00:00:00"/>
    <s v="ehsaan54@basu-sood.com"/>
    <n v="9434436671"/>
    <x v="1"/>
    <x v="0"/>
    <x v="0"/>
    <x v="2"/>
    <n v="9434436671"/>
  </r>
  <r>
    <x v="279"/>
    <x v="278"/>
    <x v="4"/>
    <n v="97489"/>
    <d v="2019-03-23T00:00:00"/>
    <s v="ishaankari@hotmail.com"/>
    <n v="546548194"/>
    <x v="1"/>
    <x v="4"/>
    <x v="1"/>
    <x v="22"/>
    <s v="Not Available"/>
  </r>
  <r>
    <x v="280"/>
    <x v="279"/>
    <x v="3"/>
    <n v="143886"/>
    <d v="2021-01-17T00:00:00"/>
    <s v="birsaanvi@koshy-soman.com"/>
    <n v="4982497090"/>
    <x v="4"/>
    <x v="2"/>
    <x v="0"/>
    <x v="1"/>
    <n v="4982497090"/>
  </r>
  <r>
    <x v="281"/>
    <x v="280"/>
    <x v="22"/>
    <n v="28113"/>
    <d v="2025-12-18T00:00:00"/>
    <s v="mishtikibe@yahoo.com"/>
    <n v="7355567806"/>
    <x v="4"/>
    <x v="0"/>
    <x v="0"/>
    <x v="0"/>
    <n v="7355567806"/>
  </r>
  <r>
    <x v="282"/>
    <x v="281"/>
    <x v="3"/>
    <n v="143886"/>
    <d v="2017-12-31T00:00:00"/>
    <s v="buchraunak@wason.com"/>
    <n v="7030306168"/>
    <x v="2"/>
    <x v="0"/>
    <x v="0"/>
    <x v="0"/>
    <n v="7030306168"/>
  </r>
  <r>
    <x v="283"/>
    <x v="282"/>
    <x v="3"/>
    <n v="393386"/>
    <d v="2020-07-11T00:00:00"/>
    <s v="ibanerjee@gmail.com"/>
    <n v="4674416904"/>
    <x v="0"/>
    <x v="1"/>
    <x v="1"/>
    <x v="0"/>
    <n v="4674416904"/>
  </r>
  <r>
    <x v="284"/>
    <x v="283"/>
    <x v="2"/>
    <n v="143886"/>
    <d v="2019-03-08T00:00:00"/>
    <s v="stuvanchaudhuri@yahoo.com"/>
    <n v="9877255559"/>
    <x v="4"/>
    <x v="2"/>
    <x v="0"/>
    <x v="12"/>
    <n v="9877255559"/>
  </r>
  <r>
    <x v="285"/>
    <x v="284"/>
    <x v="4"/>
    <n v="143886"/>
    <d v="2017-05-30T00:00:00"/>
    <s v="zain48@kadakia.com"/>
    <n v="8753169880"/>
    <x v="1"/>
    <x v="2"/>
    <x v="0"/>
    <x v="1"/>
    <n v="8753169880"/>
  </r>
  <r>
    <x v="286"/>
    <x v="285"/>
    <x v="2"/>
    <n v="5000"/>
    <d v="2017-09-23T00:00:00"/>
    <s v="eshroff@hotmail.com"/>
    <n v="2215414251"/>
    <x v="4"/>
    <x v="2"/>
    <x v="0"/>
    <x v="33"/>
    <n v="2215414251"/>
  </r>
  <r>
    <x v="287"/>
    <x v="286"/>
    <x v="57"/>
    <n v="143886"/>
    <d v="2019-07-04T00:00:00"/>
    <s v="jiyareddy@aggarwal.info"/>
    <n v="194353427"/>
    <x v="3"/>
    <x v="0"/>
    <x v="0"/>
    <x v="1"/>
    <s v="Not Available"/>
  </r>
  <r>
    <x v="288"/>
    <x v="287"/>
    <x v="3"/>
    <n v="233281"/>
    <d v="2022-06-23T00:00:00"/>
    <s v="seshadrijayan@yahoo.com"/>
    <n v="63415"/>
    <x v="4"/>
    <x v="0"/>
    <x v="0"/>
    <x v="0"/>
    <s v="Not Available"/>
  </r>
  <r>
    <x v="289"/>
    <x v="288"/>
    <x v="3"/>
    <n v="200802"/>
    <d v="2018-12-21T00:00:00"/>
    <s v="mishti49@gmail.com"/>
    <n v="5336913024"/>
    <x v="1"/>
    <x v="3"/>
    <x v="0"/>
    <x v="0"/>
    <n v="5336913024"/>
  </r>
  <r>
    <x v="290"/>
    <x v="289"/>
    <x v="4"/>
    <n v="143886"/>
    <d v="2024-04-22T00:00:00"/>
    <s v="ssant@hotmail.com"/>
    <n v="4173490934"/>
    <x v="3"/>
    <x v="4"/>
    <x v="0"/>
    <x v="19"/>
    <n v="4173490934"/>
  </r>
  <r>
    <x v="291"/>
    <x v="290"/>
    <x v="16"/>
    <n v="5000"/>
    <d v="2021-06-01T00:00:00"/>
    <s v="nsibal@mallick.com"/>
    <n v="455010688"/>
    <x v="2"/>
    <x v="0"/>
    <x v="0"/>
    <x v="2"/>
    <s v="Not Available"/>
  </r>
  <r>
    <x v="292"/>
    <x v="291"/>
    <x v="3"/>
    <n v="52933"/>
    <d v="2025-02-17T00:00:00"/>
    <s v="deepindrans@ahluwalia.com"/>
    <n v="345453420"/>
    <x v="1"/>
    <x v="4"/>
    <x v="1"/>
    <x v="1"/>
    <s v="Not Available"/>
  </r>
  <r>
    <x v="293"/>
    <x v="292"/>
    <x v="3"/>
    <n v="143886"/>
    <d v="2026-12-02T00:00:00"/>
    <s v="azad10@hotmail.com"/>
    <n v="9361727005"/>
    <x v="0"/>
    <x v="0"/>
    <x v="0"/>
    <x v="0"/>
    <n v="9361727005"/>
  </r>
  <r>
    <x v="294"/>
    <x v="293"/>
    <x v="3"/>
    <n v="39351"/>
    <d v="2021-01-08T00:00:00"/>
    <s v="obajwa@hotmail.com"/>
    <n v="6457509850"/>
    <x v="3"/>
    <x v="2"/>
    <x v="1"/>
    <x v="18"/>
    <n v="6457509850"/>
  </r>
  <r>
    <x v="295"/>
    <x v="294"/>
    <x v="23"/>
    <n v="63347"/>
    <d v="2021-04-17T00:00:00"/>
    <s v="pgolaramakrishnan.info"/>
    <n v="2762542322"/>
    <x v="2"/>
    <x v="0"/>
    <x v="1"/>
    <x v="1"/>
    <n v="2762542322"/>
  </r>
  <r>
    <x v="296"/>
    <x v="295"/>
    <x v="3"/>
    <n v="143886"/>
    <d v="2021-04-27T00:00:00"/>
    <s v="adah52@sampath.info"/>
    <n v="12661"/>
    <x v="1"/>
    <x v="0"/>
    <x v="0"/>
    <x v="0"/>
    <s v="Not Available"/>
  </r>
  <r>
    <x v="297"/>
    <x v="296"/>
    <x v="58"/>
    <n v="64107"/>
    <d v="2022-01-29T00:00:00"/>
    <s v="manjarichaudhry@gmail.com"/>
    <n v="2815412197"/>
    <x v="3"/>
    <x v="0"/>
    <x v="0"/>
    <x v="30"/>
    <n v="2815412197"/>
  </r>
  <r>
    <x v="298"/>
    <x v="297"/>
    <x v="3"/>
    <n v="143886"/>
    <d v="2026-07-02T00:00:00"/>
    <s v="navyachoudhry@jhaveri.net"/>
    <n v="9034534891"/>
    <x v="2"/>
    <x v="0"/>
    <x v="0"/>
    <x v="2"/>
    <n v="9034534891"/>
  </r>
  <r>
    <x v="299"/>
    <x v="298"/>
    <x v="59"/>
    <n v="143886"/>
    <d v="2021-02-04T00:00:00"/>
    <s v="myrakakar@bumb.com"/>
    <n v="4061577566"/>
    <x v="2"/>
    <x v="3"/>
    <x v="0"/>
    <x v="0"/>
    <n v="4061577566"/>
  </r>
  <r>
    <x v="300"/>
    <x v="299"/>
    <x v="52"/>
    <n v="371268"/>
    <d v="2021-10-02T00:00:00"/>
    <s v="Not available"/>
    <n v="3920305239"/>
    <x v="2"/>
    <x v="0"/>
    <x v="0"/>
    <x v="1"/>
    <n v="3920305239"/>
  </r>
  <r>
    <x v="301"/>
    <x v="300"/>
    <x v="4"/>
    <n v="143886"/>
    <d v="2025-03-03T00:00:00"/>
    <s v="taimur74@chana.info"/>
    <n v="3108324982"/>
    <x v="4"/>
    <x v="4"/>
    <x v="1"/>
    <x v="2"/>
    <n v="3108324982"/>
  </r>
  <r>
    <x v="302"/>
    <x v="301"/>
    <x v="3"/>
    <n v="143886"/>
    <d v="2018-08-15T00:00:00"/>
    <s v="mohanlaldasgupta@hotmail.com"/>
    <n v="3920247333"/>
    <x v="3"/>
    <x v="2"/>
    <x v="1"/>
    <x v="14"/>
    <n v="3920247333"/>
  </r>
  <r>
    <x v="303"/>
    <x v="302"/>
    <x v="60"/>
    <n v="143886"/>
    <d v="2023-12-10T00:00:00"/>
    <s v="dsandhu@yahoo.com"/>
    <n v="1170425629"/>
    <x v="3"/>
    <x v="0"/>
    <x v="0"/>
    <x v="2"/>
    <n v="1170425629"/>
  </r>
  <r>
    <x v="304"/>
    <x v="303"/>
    <x v="3"/>
    <n v="143886"/>
    <d v="2020-06-06T00:00:00"/>
    <s v="yohannankanav@thakkar.com"/>
    <n v="122644590"/>
    <x v="0"/>
    <x v="0"/>
    <x v="1"/>
    <x v="1"/>
    <s v="Not Available"/>
  </r>
  <r>
    <x v="305"/>
    <x v="304"/>
    <x v="51"/>
    <n v="143886"/>
    <d v="2018-06-01T00:00:00"/>
    <s v="fsawhney@hotmail.com"/>
    <n v="6196824174"/>
    <x v="4"/>
    <x v="0"/>
    <x v="1"/>
    <x v="2"/>
    <n v="6196824174"/>
  </r>
  <r>
    <x v="306"/>
    <x v="305"/>
    <x v="3"/>
    <n v="143886"/>
    <d v="2018-07-18T00:00:00"/>
    <s v="zainganesan@gmail.com"/>
    <n v="4167962628"/>
    <x v="1"/>
    <x v="0"/>
    <x v="1"/>
    <x v="2"/>
    <n v="4167962628"/>
  </r>
  <r>
    <x v="307"/>
    <x v="306"/>
    <x v="4"/>
    <n v="335892"/>
    <d v="2023-12-27T00:00:00"/>
    <s v="auroravardaniyathakur-halder@gmail.com"/>
    <n v="33789"/>
    <x v="1"/>
    <x v="0"/>
    <x v="0"/>
    <x v="2"/>
    <s v="Not Available"/>
  </r>
  <r>
    <x v="308"/>
    <x v="307"/>
    <x v="3"/>
    <n v="5000"/>
    <d v="2017-01-14T00:00:00"/>
    <s v="krana@sura.org"/>
    <n v="3033707945"/>
    <x v="1"/>
    <x v="1"/>
    <x v="0"/>
    <x v="21"/>
    <n v="3033707945"/>
  </r>
  <r>
    <x v="309"/>
    <x v="308"/>
    <x v="13"/>
    <n v="5000"/>
    <d v="2023-06-04T00:00:00"/>
    <s v="bsibalagate-buch.org"/>
    <n v="9361622542"/>
    <x v="1"/>
    <x v="0"/>
    <x v="0"/>
    <x v="34"/>
    <n v="9361622542"/>
  </r>
  <r>
    <x v="310"/>
    <x v="309"/>
    <x v="49"/>
    <n v="143886"/>
    <d v="2020-04-17T00:00:00"/>
    <s v="qsalvihotmail@gmail.com"/>
    <n v="7756654884"/>
    <x v="0"/>
    <x v="0"/>
    <x v="0"/>
    <x v="1"/>
    <n v="7756654884"/>
  </r>
  <r>
    <x v="311"/>
    <x v="310"/>
    <x v="3"/>
    <n v="83209"/>
    <d v="2025-01-21T00:00:00"/>
    <s v="mbiswas@gmail.com"/>
    <n v="3599789707"/>
    <x v="1"/>
    <x v="0"/>
    <x v="0"/>
    <x v="10"/>
    <n v="3599789707"/>
  </r>
  <r>
    <x v="312"/>
    <x v="311"/>
    <x v="61"/>
    <n v="143886"/>
    <d v="2019-05-01T00:00:00"/>
    <s v="eladasgupta@kothari-kohli.net"/>
    <n v="9117745663"/>
    <x v="3"/>
    <x v="2"/>
    <x v="0"/>
    <x v="2"/>
    <n v="9117745663"/>
  </r>
  <r>
    <x v="313"/>
    <x v="312"/>
    <x v="4"/>
    <n v="143886"/>
    <d v="2026-04-16T00:00:00"/>
    <s v="lakshayagarwal@yahoo.com"/>
    <n v="1524143906"/>
    <x v="3"/>
    <x v="0"/>
    <x v="0"/>
    <x v="1"/>
    <n v="1524143906"/>
  </r>
  <r>
    <x v="314"/>
    <x v="313"/>
    <x v="3"/>
    <n v="143886"/>
    <d v="2021-10-20T00:00:00"/>
    <s v="chakrabartineysa@seth.com"/>
    <n v="8777163678"/>
    <x v="3"/>
    <x v="1"/>
    <x v="1"/>
    <x v="1"/>
    <n v="8777163678"/>
  </r>
  <r>
    <x v="315"/>
    <x v="314"/>
    <x v="7"/>
    <n v="201780"/>
    <d v="2019-05-05T00:00:00"/>
    <s v="borrakhushi@gmail.com"/>
    <n v="6806462765"/>
    <x v="3"/>
    <x v="0"/>
    <x v="1"/>
    <x v="1"/>
    <n v="6806462765"/>
  </r>
  <r>
    <x v="316"/>
    <x v="315"/>
    <x v="39"/>
    <n v="5000"/>
    <d v="2024-06-08T00:00:00"/>
    <s v="faiyazzacharia@batra.com"/>
    <n v="7435302865"/>
    <x v="2"/>
    <x v="0"/>
    <x v="1"/>
    <x v="2"/>
    <n v="7435302865"/>
  </r>
  <r>
    <x v="317"/>
    <x v="316"/>
    <x v="58"/>
    <n v="143886"/>
    <d v="2022-03-08T00:00:00"/>
    <s v="qdutt@chandran.com"/>
    <n v="38059"/>
    <x v="3"/>
    <x v="0"/>
    <x v="0"/>
    <x v="0"/>
    <s v="Not Available"/>
  </r>
  <r>
    <x v="318"/>
    <x v="317"/>
    <x v="3"/>
    <n v="143886"/>
    <d v="2022-02-16T00:00:00"/>
    <s v="bmannan@gmail.com"/>
    <n v="3611142692"/>
    <x v="2"/>
    <x v="1"/>
    <x v="0"/>
    <x v="0"/>
    <n v="3611142692"/>
  </r>
  <r>
    <x v="319"/>
    <x v="318"/>
    <x v="4"/>
    <n v="143886"/>
    <d v="2019-05-02T00:00:00"/>
    <s v="aarush61@hotmail.com"/>
    <n v="654928298"/>
    <x v="1"/>
    <x v="3"/>
    <x v="0"/>
    <x v="1"/>
    <s v="Not Available"/>
  </r>
  <r>
    <x v="320"/>
    <x v="319"/>
    <x v="3"/>
    <n v="143886"/>
    <d v="2019-05-16T00:00:00"/>
    <s v="bhavin88@kibe.com"/>
    <n v="43543"/>
    <x v="1"/>
    <x v="1"/>
    <x v="0"/>
    <x v="0"/>
    <s v="Not Available"/>
  </r>
  <r>
    <x v="321"/>
    <x v="320"/>
    <x v="49"/>
    <n v="35516"/>
    <d v="2019-04-26T00:00:00"/>
    <s v="hhans@hotmail.com"/>
    <n v="3667095910"/>
    <x v="3"/>
    <x v="0"/>
    <x v="0"/>
    <x v="34"/>
    <n v="3667095910"/>
  </r>
  <r>
    <x v="322"/>
    <x v="321"/>
    <x v="3"/>
    <n v="143886"/>
    <d v="2023-11-09T00:00:00"/>
    <s v="virkyakshit@dhillon.org"/>
    <n v="22049"/>
    <x v="0"/>
    <x v="0"/>
    <x v="0"/>
    <x v="32"/>
    <s v="Not Available"/>
  </r>
  <r>
    <x v="323"/>
    <x v="322"/>
    <x v="27"/>
    <n v="143886"/>
    <d v="2021-02-17T00:00:00"/>
    <s v="ramaswamyadira@gmail.com"/>
    <n v="1752720901"/>
    <x v="1"/>
    <x v="1"/>
    <x v="0"/>
    <x v="2"/>
    <n v="1752720901"/>
  </r>
  <r>
    <x v="324"/>
    <x v="323"/>
    <x v="4"/>
    <n v="112631"/>
    <d v="2021-12-28T00:00:00"/>
    <s v="devikavyagara@gmail.com"/>
    <n v="57324"/>
    <x v="1"/>
    <x v="4"/>
    <x v="0"/>
    <x v="0"/>
    <s v="Not Available"/>
  </r>
  <r>
    <x v="325"/>
    <x v="324"/>
    <x v="3"/>
    <n v="143886"/>
    <d v="2019-04-26T00:00:00"/>
    <s v="sbansal@thakkar.com"/>
    <n v="6396825750"/>
    <x v="2"/>
    <x v="3"/>
    <x v="0"/>
    <x v="0"/>
    <n v="6396825750"/>
  </r>
  <r>
    <x v="326"/>
    <x v="325"/>
    <x v="54"/>
    <n v="25626"/>
    <d v="2025-07-13T00:00:00"/>
    <s v="yrandhawa@hotmail.com"/>
    <n v="4156320673"/>
    <x v="3"/>
    <x v="0"/>
    <x v="0"/>
    <x v="2"/>
    <n v="4156320673"/>
  </r>
  <r>
    <x v="327"/>
    <x v="326"/>
    <x v="4"/>
    <n v="51436"/>
    <d v="2022-07-11T00:00:00"/>
    <s v="bhargavalagan@gmail.com"/>
    <n v="1022121841"/>
    <x v="3"/>
    <x v="0"/>
    <x v="0"/>
    <x v="19"/>
    <n v="1022121841"/>
  </r>
  <r>
    <x v="328"/>
    <x v="327"/>
    <x v="5"/>
    <n v="274187"/>
    <d v="2019-12-31T00:00:00"/>
    <s v="yasminramachandran@gmail.com"/>
    <n v="5316711460"/>
    <x v="3"/>
    <x v="3"/>
    <x v="0"/>
    <x v="1"/>
    <n v="5316711460"/>
  </r>
  <r>
    <x v="329"/>
    <x v="328"/>
    <x v="3"/>
    <n v="259202"/>
    <d v="2017-07-07T00:00:00"/>
    <s v="onkarbir@hotmail.com"/>
    <n v="4952790176"/>
    <x v="3"/>
    <x v="0"/>
    <x v="0"/>
    <x v="0"/>
    <n v="4952790176"/>
  </r>
  <r>
    <x v="330"/>
    <x v="329"/>
    <x v="3"/>
    <n v="143886"/>
    <d v="2019-08-21T00:00:00"/>
    <s v="hsani@gmail.com"/>
    <n v="9382134978"/>
    <x v="1"/>
    <x v="3"/>
    <x v="1"/>
    <x v="0"/>
    <n v="9382134978"/>
  </r>
  <r>
    <x v="331"/>
    <x v="330"/>
    <x v="28"/>
    <n v="361107"/>
    <d v="2026-02-22T00:00:00"/>
    <s v="ehsaande@choudhary.com"/>
    <n v="3762649431"/>
    <x v="3"/>
    <x v="2"/>
    <x v="1"/>
    <x v="2"/>
    <n v="3762649431"/>
  </r>
  <r>
    <x v="332"/>
    <x v="331"/>
    <x v="4"/>
    <n v="5000"/>
    <d v="2025-11-28T00:00:00"/>
    <s v="divyansh67@hotmail.com"/>
    <n v="3268264772"/>
    <x v="3"/>
    <x v="1"/>
    <x v="0"/>
    <x v="0"/>
    <n v="3268264772"/>
  </r>
  <r>
    <x v="333"/>
    <x v="332"/>
    <x v="52"/>
    <n v="260095"/>
    <d v="2021-10-19T00:00:00"/>
    <s v="msankar@chaudhari.net"/>
    <n v="306658501"/>
    <x v="3"/>
    <x v="2"/>
    <x v="1"/>
    <x v="0"/>
    <s v="Not Available"/>
  </r>
  <r>
    <x v="334"/>
    <x v="333"/>
    <x v="3"/>
    <n v="5000"/>
    <d v="2025-09-01T00:00:00"/>
    <s v="chirag85@yahoo.com"/>
    <n v="3130209210"/>
    <x v="1"/>
    <x v="0"/>
    <x v="0"/>
    <x v="8"/>
    <n v="3130209210"/>
  </r>
  <r>
    <x v="335"/>
    <x v="334"/>
    <x v="13"/>
    <n v="143886"/>
    <d v="2019-01-29T00:00:00"/>
    <s v="rayumang@subramaniam-sen.net"/>
    <n v="9500292791"/>
    <x v="2"/>
    <x v="0"/>
    <x v="0"/>
    <x v="29"/>
    <n v="9500292791"/>
  </r>
  <r>
    <x v="336"/>
    <x v="335"/>
    <x v="4"/>
    <n v="243316"/>
    <d v="2020-12-25T00:00:00"/>
    <s v="fvarty@yahoo.com"/>
    <n v="7829702843"/>
    <x v="3"/>
    <x v="3"/>
    <x v="0"/>
    <x v="1"/>
    <n v="7829702843"/>
  </r>
  <r>
    <x v="337"/>
    <x v="336"/>
    <x v="3"/>
    <n v="84603"/>
    <d v="2022-08-28T00:00:00"/>
    <s v="jkota@gopal.com"/>
    <n v="4400837712"/>
    <x v="1"/>
    <x v="0"/>
    <x v="1"/>
    <x v="21"/>
    <n v="4400837712"/>
  </r>
  <r>
    <x v="338"/>
    <x v="337"/>
    <x v="3"/>
    <n v="143886"/>
    <d v="2017-08-21T00:00:00"/>
    <s v="tarinichoudhury@yahoo.com"/>
    <n v="77731614"/>
    <x v="4"/>
    <x v="0"/>
    <x v="0"/>
    <x v="2"/>
    <s v="Not Available"/>
  </r>
  <r>
    <x v="339"/>
    <x v="338"/>
    <x v="3"/>
    <n v="5000"/>
    <d v="2023-09-26T00:00:00"/>
    <s v="butaladivyansh@randhawa.com"/>
    <n v="48568"/>
    <x v="0"/>
    <x v="4"/>
    <x v="1"/>
    <x v="2"/>
    <s v="Not Available"/>
  </r>
  <r>
    <x v="340"/>
    <x v="339"/>
    <x v="3"/>
    <n v="143886"/>
    <d v="2023-08-19T00:00:00"/>
    <s v="adira16@hotmail.com"/>
    <n v="1464836922"/>
    <x v="0"/>
    <x v="3"/>
    <x v="1"/>
    <x v="1"/>
    <n v="1464836922"/>
  </r>
  <r>
    <x v="341"/>
    <x v="340"/>
    <x v="40"/>
    <n v="143886"/>
    <d v="2019-03-19T00:00:00"/>
    <s v="karpenirvaan@hotmail.com"/>
    <n v="9680533938"/>
    <x v="1"/>
    <x v="3"/>
    <x v="0"/>
    <x v="1"/>
    <n v="9680533938"/>
  </r>
  <r>
    <x v="342"/>
    <x v="341"/>
    <x v="3"/>
    <n v="5000"/>
    <d v="2020-01-09T00:00:00"/>
    <s v="ochoudhury@yahoo.com"/>
    <n v="175880479"/>
    <x v="4"/>
    <x v="2"/>
    <x v="0"/>
    <x v="16"/>
    <s v="Not Available"/>
  </r>
  <r>
    <x v="343"/>
    <x v="342"/>
    <x v="3"/>
    <n v="143886"/>
    <d v="2017-02-06T00:00:00"/>
    <s v="fyogi@vora-kaur.com"/>
    <n v="4861323035"/>
    <x v="1"/>
    <x v="0"/>
    <x v="0"/>
    <x v="0"/>
    <n v="4861323035"/>
  </r>
  <r>
    <x v="344"/>
    <x v="343"/>
    <x v="39"/>
    <n v="5000"/>
    <d v="2025-05-25T00:00:00"/>
    <s v="rohanlall@agarwal.biz"/>
    <n v="15997"/>
    <x v="0"/>
    <x v="4"/>
    <x v="0"/>
    <x v="1"/>
    <s v="Not Available"/>
  </r>
  <r>
    <x v="345"/>
    <x v="344"/>
    <x v="3"/>
    <n v="143886"/>
    <d v="2017-06-15T00:00:00"/>
    <s v="kannankrish@krishnamurthy.org"/>
    <n v="8195238819"/>
    <x v="3"/>
    <x v="0"/>
    <x v="0"/>
    <x v="0"/>
    <n v="8195238819"/>
  </r>
  <r>
    <x v="346"/>
    <x v="345"/>
    <x v="3"/>
    <n v="266452"/>
    <d v="2018-04-03T00:00:00"/>
    <s v="krishnanlakshay@gmail.com"/>
    <n v="3471584380"/>
    <x v="1"/>
    <x v="2"/>
    <x v="0"/>
    <x v="1"/>
    <n v="3471584380"/>
  </r>
  <r>
    <x v="347"/>
    <x v="346"/>
    <x v="3"/>
    <n v="143886"/>
    <d v="2023-06-12T00:00:00"/>
    <s v="rohan00@sha.biz"/>
    <n v="9645479446"/>
    <x v="3"/>
    <x v="0"/>
    <x v="0"/>
    <x v="1"/>
    <n v="9645479446"/>
  </r>
  <r>
    <x v="348"/>
    <x v="347"/>
    <x v="20"/>
    <n v="143886"/>
    <d v="2018-03-15T00:00:00"/>
    <s v="rdoshi@yahoo.com"/>
    <n v="65945"/>
    <x v="1"/>
    <x v="0"/>
    <x v="0"/>
    <x v="2"/>
    <s v="Not Available"/>
  </r>
  <r>
    <x v="349"/>
    <x v="348"/>
    <x v="4"/>
    <n v="75757"/>
    <d v="2026-07-01T00:00:00"/>
    <s v="Not available"/>
    <n v="9938528348"/>
    <x v="3"/>
    <x v="0"/>
    <x v="0"/>
    <x v="2"/>
    <n v="9938528348"/>
  </r>
  <r>
    <x v="350"/>
    <x v="349"/>
    <x v="3"/>
    <n v="143886"/>
    <d v="2021-03-12T00:00:00"/>
    <s v="bijuchandran@yahoo.com"/>
    <n v="43447"/>
    <x v="4"/>
    <x v="1"/>
    <x v="0"/>
    <x v="2"/>
    <s v="Not Available"/>
  </r>
  <r>
    <x v="351"/>
    <x v="350"/>
    <x v="3"/>
    <n v="399667"/>
    <d v="2022-05-09T00:00:00"/>
    <s v="gopaldiyatoor@gmail.com"/>
    <n v="3965708709"/>
    <x v="0"/>
    <x v="2"/>
    <x v="0"/>
    <x v="35"/>
    <n v="3965708709"/>
  </r>
  <r>
    <x v="352"/>
    <x v="351"/>
    <x v="4"/>
    <n v="143886"/>
    <d v="2017-11-20T00:00:00"/>
    <s v="fmanda@hotmail.com"/>
    <n v="3021197499"/>
    <x v="1"/>
    <x v="1"/>
    <x v="0"/>
    <x v="33"/>
    <n v="3021197499"/>
  </r>
  <r>
    <x v="353"/>
    <x v="352"/>
    <x v="21"/>
    <n v="143886"/>
    <d v="2021-08-02T00:00:00"/>
    <s v="rheamadan@andra.com"/>
    <n v="7672256816"/>
    <x v="3"/>
    <x v="0"/>
    <x v="0"/>
    <x v="0"/>
    <n v="7672256816"/>
  </r>
  <r>
    <x v="354"/>
    <x v="353"/>
    <x v="3"/>
    <n v="498320"/>
    <d v="2019-07-31T00:00:00"/>
    <s v="brarnakul@arora.com"/>
    <n v="6329508106"/>
    <x v="3"/>
    <x v="3"/>
    <x v="0"/>
    <x v="29"/>
    <n v="6329508106"/>
  </r>
  <r>
    <x v="355"/>
    <x v="354"/>
    <x v="25"/>
    <n v="143886"/>
    <d v="2019-01-01T00:00:00"/>
    <s v="mravel@yahoo.com"/>
    <n v="86893608"/>
    <x v="2"/>
    <x v="1"/>
    <x v="1"/>
    <x v="1"/>
    <s v="Not Available"/>
  </r>
  <r>
    <x v="356"/>
    <x v="355"/>
    <x v="25"/>
    <n v="178372"/>
    <d v="2017-08-13T00:00:00"/>
    <s v="Not available"/>
    <n v="2857803250"/>
    <x v="3"/>
    <x v="4"/>
    <x v="0"/>
    <x v="2"/>
    <n v="2857803250"/>
  </r>
  <r>
    <x v="357"/>
    <x v="356"/>
    <x v="4"/>
    <n v="143886"/>
    <d v="2017-10-28T00:00:00"/>
    <s v="Not available"/>
    <n v="1156327116"/>
    <x v="1"/>
    <x v="0"/>
    <x v="1"/>
    <x v="2"/>
    <n v="1156327116"/>
  </r>
  <r>
    <x v="358"/>
    <x v="357"/>
    <x v="26"/>
    <n v="5000"/>
    <d v="2018-06-29T00:00:00"/>
    <s v="bwarrior@sarin-rao.com"/>
    <n v="3050303063"/>
    <x v="2"/>
    <x v="0"/>
    <x v="1"/>
    <x v="2"/>
    <n v="3050303063"/>
  </r>
  <r>
    <x v="359"/>
    <x v="358"/>
    <x v="3"/>
    <n v="5000"/>
    <d v="2021-08-03T00:00:00"/>
    <s v="kismat48walia.biz"/>
    <n v="5049804407"/>
    <x v="3"/>
    <x v="0"/>
    <x v="0"/>
    <x v="0"/>
    <n v="5049804407"/>
  </r>
  <r>
    <x v="360"/>
    <x v="359"/>
    <x v="3"/>
    <n v="5000"/>
    <d v="2019-06-23T00:00:00"/>
    <s v="rayinaaya@kulkarni.com"/>
    <n v="91218"/>
    <x v="3"/>
    <x v="1"/>
    <x v="1"/>
    <x v="4"/>
    <s v="Not Available"/>
  </r>
  <r>
    <x v="361"/>
    <x v="360"/>
    <x v="4"/>
    <n v="143886"/>
    <d v="2025-05-23T00:00:00"/>
    <s v="veer57@gmail.com"/>
    <n v="9224453007"/>
    <x v="1"/>
    <x v="0"/>
    <x v="0"/>
    <x v="19"/>
    <n v="9224453007"/>
  </r>
  <r>
    <x v="362"/>
    <x v="361"/>
    <x v="3"/>
    <n v="5000"/>
    <d v="2020-09-24T00:00:00"/>
    <s v="guptazeeshan@hotmail.com"/>
    <n v="7994660702"/>
    <x v="3"/>
    <x v="1"/>
    <x v="0"/>
    <x v="36"/>
    <n v="7994660702"/>
  </r>
  <r>
    <x v="363"/>
    <x v="362"/>
    <x v="3"/>
    <n v="5000"/>
    <d v="2025-04-17T00:00:00"/>
    <s v="ytandon@bhakta.org"/>
    <n v="37836"/>
    <x v="3"/>
    <x v="1"/>
    <x v="0"/>
    <x v="0"/>
    <s v="Not Available"/>
  </r>
  <r>
    <x v="364"/>
    <x v="363"/>
    <x v="15"/>
    <n v="370643"/>
    <d v="2021-06-05T00:00:00"/>
    <s v="alisha60@hotmail.com"/>
    <n v="7631448482"/>
    <x v="4"/>
    <x v="3"/>
    <x v="1"/>
    <x v="0"/>
    <n v="7631448482"/>
  </r>
  <r>
    <x v="365"/>
    <x v="364"/>
    <x v="3"/>
    <n v="5000"/>
    <d v="2018-08-19T00:00:00"/>
    <s v="Not available"/>
    <n v="1621518392"/>
    <x v="0"/>
    <x v="2"/>
    <x v="0"/>
    <x v="2"/>
    <n v="1621518392"/>
  </r>
  <r>
    <x v="366"/>
    <x v="365"/>
    <x v="26"/>
    <n v="286629"/>
    <d v="2026-08-04T00:00:00"/>
    <s v="romil50@gmail.com"/>
    <n v="5798725228"/>
    <x v="3"/>
    <x v="0"/>
    <x v="1"/>
    <x v="17"/>
    <n v="5798725228"/>
  </r>
  <r>
    <x v="367"/>
    <x v="366"/>
    <x v="39"/>
    <n v="50513"/>
    <d v="2018-09-02T00:00:00"/>
    <s v="ivan05@dey-shenoy.com"/>
    <n v="1028851058"/>
    <x v="1"/>
    <x v="0"/>
    <x v="0"/>
    <x v="20"/>
    <n v="1028851058"/>
  </r>
  <r>
    <x v="368"/>
    <x v="367"/>
    <x v="62"/>
    <n v="143886"/>
    <d v="2016-05-26T00:00:00"/>
    <s v="jayaramanakarsh@keer-dayal.com"/>
    <n v="52023"/>
    <x v="3"/>
    <x v="0"/>
    <x v="1"/>
    <x v="5"/>
    <s v="Not Available"/>
  </r>
  <r>
    <x v="369"/>
    <x v="368"/>
    <x v="4"/>
    <n v="143886"/>
    <d v="2017-03-12T00:00:00"/>
    <s v="vivaandewan@som.com"/>
    <n v="6442687954"/>
    <x v="2"/>
    <x v="1"/>
    <x v="0"/>
    <x v="2"/>
    <n v="6442687954"/>
  </r>
  <r>
    <x v="370"/>
    <x v="369"/>
    <x v="1"/>
    <n v="143886"/>
    <d v="2018-01-06T00:00:00"/>
    <s v="nsharma@chowdhury.com"/>
    <n v="9377216429"/>
    <x v="1"/>
    <x v="0"/>
    <x v="1"/>
    <x v="0"/>
    <n v="9377216429"/>
  </r>
  <r>
    <x v="371"/>
    <x v="370"/>
    <x v="3"/>
    <n v="5000"/>
    <d v="2019-01-15T00:00:00"/>
    <s v="shray91@yahoo.com"/>
    <n v="2991714617"/>
    <x v="1"/>
    <x v="2"/>
    <x v="0"/>
    <x v="2"/>
    <n v="2991714617"/>
  </r>
  <r>
    <x v="372"/>
    <x v="371"/>
    <x v="3"/>
    <n v="5000"/>
    <d v="2024-07-08T00:00:00"/>
    <s v="sarafishaan@gmail.com"/>
    <n v="4695251496"/>
    <x v="3"/>
    <x v="0"/>
    <x v="1"/>
    <x v="2"/>
    <n v="4695251496"/>
  </r>
  <r>
    <x v="373"/>
    <x v="372"/>
    <x v="3"/>
    <n v="5000"/>
    <d v="2018-12-16T00:00:00"/>
    <s v="toorahana@gmail.com"/>
    <n v="3757702811"/>
    <x v="4"/>
    <x v="1"/>
    <x v="0"/>
    <x v="1"/>
    <n v="3757702811"/>
  </r>
  <r>
    <x v="374"/>
    <x v="373"/>
    <x v="37"/>
    <n v="420955"/>
    <d v="2023-03-08T00:00:00"/>
    <s v="kadeindranilyahoo@gmail.com"/>
    <n v="8493470884"/>
    <x v="1"/>
    <x v="3"/>
    <x v="0"/>
    <x v="37"/>
    <n v="8493470884"/>
  </r>
  <r>
    <x v="375"/>
    <x v="374"/>
    <x v="4"/>
    <n v="143886"/>
    <d v="2016-03-11T00:00:00"/>
    <s v="anaydivan@krish.com"/>
    <n v="9059458607"/>
    <x v="0"/>
    <x v="3"/>
    <x v="0"/>
    <x v="2"/>
    <n v="9059458607"/>
  </r>
  <r>
    <x v="376"/>
    <x v="375"/>
    <x v="12"/>
    <n v="460978"/>
    <d v="2020-05-13T00:00:00"/>
    <s v="choudharyamira@din.com"/>
    <n v="3380368777"/>
    <x v="1"/>
    <x v="0"/>
    <x v="0"/>
    <x v="0"/>
    <n v="3380368777"/>
  </r>
  <r>
    <x v="377"/>
    <x v="376"/>
    <x v="4"/>
    <n v="143886"/>
    <d v="2017-03-16T00:00:00"/>
    <s v="bumbivana@sabharwal.com"/>
    <n v="3010486802"/>
    <x v="1"/>
    <x v="0"/>
    <x v="1"/>
    <x v="1"/>
    <n v="3010486802"/>
  </r>
  <r>
    <x v="378"/>
    <x v="377"/>
    <x v="4"/>
    <n v="143886"/>
    <d v="2016-06-25T00:00:00"/>
    <s v="pbora@bhasin.info"/>
    <n v="200831047"/>
    <x v="1"/>
    <x v="4"/>
    <x v="0"/>
    <x v="0"/>
    <s v="Not Available"/>
  </r>
  <r>
    <x v="379"/>
    <x v="378"/>
    <x v="4"/>
    <n v="268238"/>
    <d v="2017-01-06T00:00:00"/>
    <s v="ritvik75@balakrishnan.com"/>
    <n v="2580926519"/>
    <x v="3"/>
    <x v="0"/>
    <x v="1"/>
    <x v="2"/>
    <n v="2580926519"/>
  </r>
  <r>
    <x v="380"/>
    <x v="379"/>
    <x v="3"/>
    <n v="166036"/>
    <d v="2018-07-20T00:00:00"/>
    <s v="diya48@sehgal-kade.com"/>
    <n v="5552950915"/>
    <x v="4"/>
    <x v="0"/>
    <x v="0"/>
    <x v="33"/>
    <n v="5552950915"/>
  </r>
  <r>
    <x v="381"/>
    <x v="380"/>
    <x v="3"/>
    <n v="5000"/>
    <d v="2020-01-28T00:00:00"/>
    <s v="santshamik@hotmail.com"/>
    <n v="7609702366"/>
    <x v="3"/>
    <x v="3"/>
    <x v="0"/>
    <x v="0"/>
    <n v="7609702366"/>
  </r>
  <r>
    <x v="382"/>
    <x v="381"/>
    <x v="4"/>
    <n v="61259"/>
    <d v="2024-02-18T00:00:00"/>
    <s v="aarav01@aurora.com"/>
    <n v="8710183361"/>
    <x v="3"/>
    <x v="4"/>
    <x v="1"/>
    <x v="26"/>
    <n v="8710183361"/>
  </r>
  <r>
    <x v="383"/>
    <x v="382"/>
    <x v="3"/>
    <n v="263476"/>
    <d v="2022-11-22T00:00:00"/>
    <s v="ohegdemallick.info"/>
    <n v="2271369210"/>
    <x v="0"/>
    <x v="2"/>
    <x v="0"/>
    <x v="0"/>
    <n v="2271369210"/>
  </r>
  <r>
    <x v="384"/>
    <x v="383"/>
    <x v="3"/>
    <n v="102360"/>
    <d v="2019-04-28T00:00:00"/>
    <s v="prisha40@gmail.com"/>
    <n v="1182158771"/>
    <x v="3"/>
    <x v="4"/>
    <x v="0"/>
    <x v="18"/>
    <n v="1182158771"/>
  </r>
  <r>
    <x v="385"/>
    <x v="384"/>
    <x v="3"/>
    <n v="144975"/>
    <d v="2018-10-29T00:00:00"/>
    <s v="jivika96@sani.com"/>
    <n v="4173916210"/>
    <x v="3"/>
    <x v="3"/>
    <x v="0"/>
    <x v="0"/>
    <n v="4173916210"/>
  </r>
  <r>
    <x v="386"/>
    <x v="385"/>
    <x v="4"/>
    <n v="143886"/>
    <d v="2019-01-10T00:00:00"/>
    <s v="divit51@hotmail.com"/>
    <n v="9160958238"/>
    <x v="3"/>
    <x v="0"/>
    <x v="0"/>
    <x v="0"/>
    <n v="9160958238"/>
  </r>
  <r>
    <x v="387"/>
    <x v="386"/>
    <x v="3"/>
    <n v="143886"/>
    <d v="2022-12-12T00:00:00"/>
    <s v="Not available"/>
    <n v="8966663283"/>
    <x v="1"/>
    <x v="0"/>
    <x v="1"/>
    <x v="19"/>
    <n v="8966663283"/>
  </r>
  <r>
    <x v="388"/>
    <x v="387"/>
    <x v="63"/>
    <n v="462400"/>
    <d v="2020-02-27T00:00:00"/>
    <s v="vaidyahunar@bassi.com"/>
    <n v="742330415"/>
    <x v="3"/>
    <x v="0"/>
    <x v="0"/>
    <x v="5"/>
    <s v="Not Available"/>
  </r>
  <r>
    <x v="389"/>
    <x v="388"/>
    <x v="7"/>
    <n v="143886"/>
    <d v="2016-11-08T00:00:00"/>
    <s v="wdyal@sekhon.com"/>
    <n v="93897"/>
    <x v="3"/>
    <x v="0"/>
    <x v="0"/>
    <x v="11"/>
    <s v="Not Available"/>
  </r>
  <r>
    <x v="390"/>
    <x v="389"/>
    <x v="3"/>
    <n v="5000"/>
    <d v="2019-10-21T00:00:00"/>
    <s v="borahanaya@bala.com"/>
    <n v="6118726500"/>
    <x v="3"/>
    <x v="4"/>
    <x v="0"/>
    <x v="1"/>
    <n v="6118726500"/>
  </r>
  <r>
    <x v="391"/>
    <x v="390"/>
    <x v="3"/>
    <n v="20254"/>
    <d v="2018-09-02T00:00:00"/>
    <s v="xdasgupta@hotmail.com"/>
    <n v="7030907984"/>
    <x v="3"/>
    <x v="2"/>
    <x v="0"/>
    <x v="38"/>
    <n v="7030907984"/>
  </r>
  <r>
    <x v="392"/>
    <x v="391"/>
    <x v="3"/>
    <n v="5000"/>
    <d v="2023-04-01T00:00:00"/>
    <s v="tkeer@khurana.com"/>
    <n v="877865418"/>
    <x v="0"/>
    <x v="1"/>
    <x v="1"/>
    <x v="8"/>
    <s v="Not Available"/>
  </r>
  <r>
    <x v="393"/>
    <x v="392"/>
    <x v="54"/>
    <n v="236503"/>
    <d v="2024-09-14T00:00:00"/>
    <s v="shaan09gade.info"/>
    <n v="6869507402"/>
    <x v="2"/>
    <x v="0"/>
    <x v="0"/>
    <x v="21"/>
    <n v="6869507402"/>
  </r>
  <r>
    <x v="394"/>
    <x v="393"/>
    <x v="43"/>
    <n v="171700"/>
    <d v="2017-08-09T00:00:00"/>
    <s v="zdesai@hotmail.com"/>
    <n v="2877230869"/>
    <x v="1"/>
    <x v="0"/>
    <x v="0"/>
    <x v="0"/>
    <n v="2877230869"/>
  </r>
  <r>
    <x v="395"/>
    <x v="394"/>
    <x v="33"/>
    <n v="312473"/>
    <d v="2026-01-29T00:00:00"/>
    <s v="schoudhary@shankar.com"/>
    <n v="3578317717"/>
    <x v="3"/>
    <x v="0"/>
    <x v="0"/>
    <x v="11"/>
    <n v="3578317717"/>
  </r>
  <r>
    <x v="396"/>
    <x v="395"/>
    <x v="4"/>
    <n v="5000"/>
    <d v="2017-04-04T00:00:00"/>
    <s v="dhruv38@hotmail.com"/>
    <n v="2701826566"/>
    <x v="1"/>
    <x v="0"/>
    <x v="0"/>
    <x v="1"/>
    <n v="2701826566"/>
  </r>
  <r>
    <x v="397"/>
    <x v="396"/>
    <x v="56"/>
    <n v="143886"/>
    <d v="2021-05-30T00:00:00"/>
    <s v="tellaarnav@gmail.com"/>
    <n v="3448066749"/>
    <x v="1"/>
    <x v="4"/>
    <x v="1"/>
    <x v="2"/>
    <n v="3448066749"/>
  </r>
  <r>
    <x v="398"/>
    <x v="397"/>
    <x v="53"/>
    <n v="143886"/>
    <d v="2023-12-30T00:00:00"/>
    <s v="jiya96@gmail.com"/>
    <n v="1059003433"/>
    <x v="1"/>
    <x v="2"/>
    <x v="1"/>
    <x v="2"/>
    <n v="1059003433"/>
  </r>
  <r>
    <x v="399"/>
    <x v="398"/>
    <x v="3"/>
    <n v="46691"/>
    <d v="2022-04-21T00:00:00"/>
    <s v="akashyapwarrior.biz"/>
    <n v="6073500225"/>
    <x v="0"/>
    <x v="0"/>
    <x v="0"/>
    <x v="1"/>
    <n v="6073500225"/>
  </r>
  <r>
    <x v="400"/>
    <x v="399"/>
    <x v="3"/>
    <n v="143886"/>
    <d v="2019-07-15T00:00:00"/>
    <s v="mannenavya@sehgal.com"/>
    <n v="149091750"/>
    <x v="3"/>
    <x v="2"/>
    <x v="0"/>
    <x v="39"/>
    <s v="Not Available"/>
  </r>
  <r>
    <x v="401"/>
    <x v="400"/>
    <x v="4"/>
    <n v="499193"/>
    <d v="2022-04-07T00:00:00"/>
    <s v="aainasehgal@doctor.com"/>
    <n v="3435130440"/>
    <x v="0"/>
    <x v="0"/>
    <x v="1"/>
    <x v="1"/>
    <n v="3435130440"/>
  </r>
  <r>
    <x v="402"/>
    <x v="401"/>
    <x v="4"/>
    <n v="143886"/>
    <d v="2022-04-23T00:00:00"/>
    <s v="romilissac@sarma-kant.com"/>
    <n v="7920916026"/>
    <x v="3"/>
    <x v="1"/>
    <x v="0"/>
    <x v="0"/>
    <n v="7920916026"/>
  </r>
  <r>
    <x v="403"/>
    <x v="402"/>
    <x v="4"/>
    <n v="143886"/>
    <d v="2025-09-28T00:00:00"/>
    <s v="manikyabasu@yahoo.com"/>
    <n v="2882212651"/>
    <x v="4"/>
    <x v="0"/>
    <x v="1"/>
    <x v="22"/>
    <n v="2882212651"/>
  </r>
  <r>
    <x v="404"/>
    <x v="403"/>
    <x v="3"/>
    <n v="143886"/>
    <d v="2024-04-30T00:00:00"/>
    <s v="kjoshi@yahoo.com"/>
    <n v="3476389828"/>
    <x v="0"/>
    <x v="0"/>
    <x v="0"/>
    <x v="1"/>
    <n v="3476389828"/>
  </r>
  <r>
    <x v="405"/>
    <x v="404"/>
    <x v="14"/>
    <n v="43343"/>
    <d v="2026-02-17T00:00:00"/>
    <s v="basuanika@hayre.info"/>
    <n v="500139198"/>
    <x v="4"/>
    <x v="1"/>
    <x v="0"/>
    <x v="1"/>
    <s v="Not Available"/>
  </r>
  <r>
    <x v="406"/>
    <x v="405"/>
    <x v="4"/>
    <n v="5000"/>
    <d v="2022-07-05T00:00:00"/>
    <s v="mannat74@gmail.com"/>
    <n v="514072502"/>
    <x v="1"/>
    <x v="2"/>
    <x v="0"/>
    <x v="37"/>
    <s v="Not Available"/>
  </r>
  <r>
    <x v="407"/>
    <x v="406"/>
    <x v="3"/>
    <n v="425091"/>
    <d v="2020-04-15T00:00:00"/>
    <s v="edash@batta-chana.com"/>
    <n v="9835793412"/>
    <x v="1"/>
    <x v="1"/>
    <x v="1"/>
    <x v="31"/>
    <n v="9835793412"/>
  </r>
  <r>
    <x v="408"/>
    <x v="407"/>
    <x v="20"/>
    <n v="296701"/>
    <d v="2021-04-25T00:00:00"/>
    <s v="lguha@hotmail.com"/>
    <n v="9706593606"/>
    <x v="1"/>
    <x v="1"/>
    <x v="1"/>
    <x v="1"/>
    <n v="9706593606"/>
  </r>
  <r>
    <x v="409"/>
    <x v="408"/>
    <x v="3"/>
    <n v="285251"/>
    <d v="2018-02-21T00:00:00"/>
    <s v="mkhatri@hotmail.com"/>
    <n v="22117"/>
    <x v="2"/>
    <x v="0"/>
    <x v="0"/>
    <x v="0"/>
    <s v="Not Available"/>
  </r>
  <r>
    <x v="410"/>
    <x v="409"/>
    <x v="33"/>
    <n v="79106"/>
    <d v="2019-09-09T00:00:00"/>
    <s v="pranaybiswas@hotmail.com"/>
    <n v="4728954913"/>
    <x v="1"/>
    <x v="2"/>
    <x v="0"/>
    <x v="2"/>
    <n v="4728954913"/>
  </r>
  <r>
    <x v="411"/>
    <x v="410"/>
    <x v="4"/>
    <n v="5000"/>
    <d v="2017-09-20T00:00:00"/>
    <s v="ukothari@singhal-chakrabarti.biz"/>
    <n v="4595758113"/>
    <x v="1"/>
    <x v="0"/>
    <x v="1"/>
    <x v="0"/>
    <n v="4595758113"/>
  </r>
  <r>
    <x v="412"/>
    <x v="411"/>
    <x v="42"/>
    <n v="143886"/>
    <d v="2019-02-25T00:00:00"/>
    <s v="sarnazaina@deshpande.com"/>
    <n v="142947171"/>
    <x v="3"/>
    <x v="0"/>
    <x v="0"/>
    <x v="6"/>
    <s v="Not Available"/>
  </r>
  <r>
    <x v="413"/>
    <x v="412"/>
    <x v="33"/>
    <n v="143886"/>
    <d v="2023-08-07T00:00:00"/>
    <s v="khushi09@gmail.com"/>
    <n v="9854602109"/>
    <x v="2"/>
    <x v="0"/>
    <x v="0"/>
    <x v="2"/>
    <n v="9854602109"/>
  </r>
  <r>
    <x v="414"/>
    <x v="413"/>
    <x v="28"/>
    <n v="449520"/>
    <d v="2019-07-28T00:00:00"/>
    <s v="bhaminisha@hotmail.com"/>
    <n v="1628472818"/>
    <x v="3"/>
    <x v="2"/>
    <x v="1"/>
    <x v="2"/>
    <n v="1628472818"/>
  </r>
  <r>
    <x v="415"/>
    <x v="414"/>
    <x v="64"/>
    <n v="98908"/>
    <d v="2019-07-13T00:00:00"/>
    <s v="pgrewalkorpal@gmail.com"/>
    <n v="8509651984"/>
    <x v="3"/>
    <x v="2"/>
    <x v="0"/>
    <x v="32"/>
    <n v="8509651984"/>
  </r>
  <r>
    <x v="416"/>
    <x v="415"/>
    <x v="6"/>
    <n v="70780"/>
    <d v="2023-06-16T00:00:00"/>
    <s v="suhanaviswanathan@reddy-cheema.com"/>
    <n v="5044716379"/>
    <x v="0"/>
    <x v="1"/>
    <x v="0"/>
    <x v="23"/>
    <n v="5044716379"/>
  </r>
  <r>
    <x v="417"/>
    <x v="416"/>
    <x v="3"/>
    <n v="5000"/>
    <d v="2016-07-08T00:00:00"/>
    <s v="comardarshit@vala-goswami.com"/>
    <n v="4773047847"/>
    <x v="1"/>
    <x v="2"/>
    <x v="0"/>
    <x v="30"/>
    <n v="4773047847"/>
  </r>
  <r>
    <x v="418"/>
    <x v="417"/>
    <x v="3"/>
    <n v="5000"/>
    <d v="2025-08-18T00:00:00"/>
    <s v="shamiksawhney@yahoo.com"/>
    <n v="1533281671"/>
    <x v="2"/>
    <x v="0"/>
    <x v="0"/>
    <x v="2"/>
    <n v="1533281671"/>
  </r>
  <r>
    <x v="419"/>
    <x v="418"/>
    <x v="3"/>
    <n v="143886"/>
    <d v="2021-01-13T00:00:00"/>
    <s v="Not available"/>
    <n v="5223977469"/>
    <x v="3"/>
    <x v="2"/>
    <x v="0"/>
    <x v="2"/>
    <n v="5223977469"/>
  </r>
  <r>
    <x v="420"/>
    <x v="419"/>
    <x v="3"/>
    <n v="5000"/>
    <d v="2023-01-24T00:00:00"/>
    <s v="sahilranganathan@mander.info"/>
    <n v="3573053675"/>
    <x v="1"/>
    <x v="1"/>
    <x v="0"/>
    <x v="0"/>
    <n v="3573053675"/>
  </r>
  <r>
    <x v="421"/>
    <x v="420"/>
    <x v="3"/>
    <n v="104246"/>
    <d v="2021-04-21T00:00:00"/>
    <s v="rcheema@sathe-chandra.com"/>
    <n v="90408"/>
    <x v="0"/>
    <x v="0"/>
    <x v="0"/>
    <x v="2"/>
    <s v="Not Available"/>
  </r>
  <r>
    <x v="422"/>
    <x v="421"/>
    <x v="3"/>
    <n v="143886"/>
    <d v="2019-12-28T00:00:00"/>
    <s v="heerlalla@hotmail.com"/>
    <n v="1209416243"/>
    <x v="0"/>
    <x v="1"/>
    <x v="0"/>
    <x v="0"/>
    <n v="1209416243"/>
  </r>
  <r>
    <x v="423"/>
    <x v="422"/>
    <x v="4"/>
    <n v="143886"/>
    <d v="2017-11-16T00:00:00"/>
    <s v="issacyuvraj@gmail.com"/>
    <n v="3606039121"/>
    <x v="3"/>
    <x v="2"/>
    <x v="1"/>
    <x v="0"/>
    <n v="3606039121"/>
  </r>
  <r>
    <x v="424"/>
    <x v="423"/>
    <x v="13"/>
    <n v="143886"/>
    <d v="2024-01-12T00:00:00"/>
    <s v="mishabhatnagar@gmail.com"/>
    <n v="3227460604"/>
    <x v="2"/>
    <x v="4"/>
    <x v="1"/>
    <x v="2"/>
    <n v="3227460604"/>
  </r>
  <r>
    <x v="425"/>
    <x v="424"/>
    <x v="3"/>
    <n v="143886"/>
    <d v="2019-07-21T00:00:00"/>
    <s v="dasvardaniya@babu.com"/>
    <n v="4607912552"/>
    <x v="2"/>
    <x v="2"/>
    <x v="0"/>
    <x v="0"/>
    <n v="4607912552"/>
  </r>
  <r>
    <x v="426"/>
    <x v="425"/>
    <x v="8"/>
    <n v="377817"/>
    <d v="2023-07-11T00:00:00"/>
    <s v="gatiktrivedihotmail@gmail.com"/>
    <n v="4165947577"/>
    <x v="1"/>
    <x v="0"/>
    <x v="0"/>
    <x v="1"/>
    <n v="4165947577"/>
  </r>
  <r>
    <x v="427"/>
    <x v="426"/>
    <x v="3"/>
    <n v="419840"/>
    <d v="2022-09-19T00:00:00"/>
    <s v="kumerkanav@deshpande-suri.com"/>
    <n v="5957324058"/>
    <x v="1"/>
    <x v="1"/>
    <x v="1"/>
    <x v="1"/>
    <n v="5957324058"/>
  </r>
  <r>
    <x v="428"/>
    <x v="427"/>
    <x v="4"/>
    <n v="143886"/>
    <d v="2016-12-27T00:00:00"/>
    <s v="kaira80@gmail.com"/>
    <n v="99371"/>
    <x v="3"/>
    <x v="0"/>
    <x v="1"/>
    <x v="19"/>
    <s v="Not Available"/>
  </r>
  <r>
    <x v="429"/>
    <x v="428"/>
    <x v="40"/>
    <n v="197016"/>
    <d v="2018-12-14T00:00:00"/>
    <s v="badalgrover@gmail.com"/>
    <n v="8671097802"/>
    <x v="1"/>
    <x v="0"/>
    <x v="1"/>
    <x v="2"/>
    <n v="8671097802"/>
  </r>
  <r>
    <x v="430"/>
    <x v="429"/>
    <x v="3"/>
    <n v="30375"/>
    <d v="2017-07-20T00:00:00"/>
    <s v="aarnabiswas@gulati-bajaj.com"/>
    <n v="5072364547"/>
    <x v="2"/>
    <x v="3"/>
    <x v="0"/>
    <x v="17"/>
    <n v="5072364547"/>
  </r>
  <r>
    <x v="431"/>
    <x v="430"/>
    <x v="4"/>
    <n v="143886"/>
    <d v="2024-08-21T00:00:00"/>
    <s v="rvarughese@brar.com"/>
    <n v="6488037312"/>
    <x v="1"/>
    <x v="4"/>
    <x v="1"/>
    <x v="0"/>
    <n v="6488037312"/>
  </r>
  <r>
    <x v="432"/>
    <x v="431"/>
    <x v="3"/>
    <n v="143886"/>
    <d v="2020-04-11T00:00:00"/>
    <s v="ritvik96@tara-bhavsar.com"/>
    <n v="1117125332"/>
    <x v="0"/>
    <x v="4"/>
    <x v="1"/>
    <x v="0"/>
    <n v="1117125332"/>
  </r>
  <r>
    <x v="433"/>
    <x v="432"/>
    <x v="31"/>
    <n v="143886"/>
    <d v="2022-08-19T00:00:00"/>
    <s v="jainkhushi@sen.com"/>
    <n v="7906262675"/>
    <x v="1"/>
    <x v="2"/>
    <x v="1"/>
    <x v="5"/>
    <n v="7906262675"/>
  </r>
  <r>
    <x v="434"/>
    <x v="433"/>
    <x v="4"/>
    <n v="24126"/>
    <d v="2020-01-18T00:00:00"/>
    <s v="shettyabram@gmail.com"/>
    <n v="7941303425"/>
    <x v="3"/>
    <x v="3"/>
    <x v="1"/>
    <x v="2"/>
    <n v="7941303425"/>
  </r>
  <r>
    <x v="435"/>
    <x v="434"/>
    <x v="40"/>
    <n v="143886"/>
    <d v="2016-06-28T00:00:00"/>
    <s v="pgandhi@vasa.com"/>
    <n v="9741706844"/>
    <x v="3"/>
    <x v="3"/>
    <x v="0"/>
    <x v="2"/>
    <n v="9741706844"/>
  </r>
  <r>
    <x v="436"/>
    <x v="435"/>
    <x v="4"/>
    <n v="143886"/>
    <d v="2025-08-21T00:00:00"/>
    <s v="pyadavsethi-khurana@gmail.com"/>
    <n v="4594927026"/>
    <x v="0"/>
    <x v="0"/>
    <x v="0"/>
    <x v="2"/>
    <n v="4594927026"/>
  </r>
  <r>
    <x v="437"/>
    <x v="436"/>
    <x v="3"/>
    <n v="143886"/>
    <d v="2024-12-18T00:00:00"/>
    <s v="shadhruv@gmail.com"/>
    <n v="2811377656"/>
    <x v="0"/>
    <x v="3"/>
    <x v="1"/>
    <x v="0"/>
    <n v="2811377656"/>
  </r>
  <r>
    <x v="438"/>
    <x v="437"/>
    <x v="4"/>
    <n v="56841"/>
    <d v="2024-12-24T00:00:00"/>
    <s v="yrau@yahoo.com"/>
    <n v="3562195123"/>
    <x v="3"/>
    <x v="0"/>
    <x v="1"/>
    <x v="0"/>
    <n v="3562195123"/>
  </r>
  <r>
    <x v="439"/>
    <x v="438"/>
    <x v="9"/>
    <n v="421613"/>
    <d v="2026-07-02T00:00:00"/>
    <s v="siyamand@hotmail.com"/>
    <n v="4206302703"/>
    <x v="1"/>
    <x v="0"/>
    <x v="1"/>
    <x v="0"/>
    <n v="4206302703"/>
  </r>
  <r>
    <x v="440"/>
    <x v="439"/>
    <x v="3"/>
    <n v="111144"/>
    <d v="2024-08-13T00:00:00"/>
    <s v="mannatgoyal@yahoo.com"/>
    <n v="6075047342"/>
    <x v="4"/>
    <x v="2"/>
    <x v="0"/>
    <x v="2"/>
    <n v="6075047342"/>
  </r>
  <r>
    <x v="441"/>
    <x v="440"/>
    <x v="45"/>
    <n v="67089"/>
    <d v="2018-05-06T00:00:00"/>
    <s v="swamykabir@jain.org"/>
    <n v="8112480250"/>
    <x v="3"/>
    <x v="3"/>
    <x v="0"/>
    <x v="0"/>
    <n v="8112480250"/>
  </r>
  <r>
    <x v="442"/>
    <x v="441"/>
    <x v="3"/>
    <n v="191580"/>
    <d v="2020-05-18T00:00:00"/>
    <s v="shayak90@gmail.com"/>
    <n v="4732616383"/>
    <x v="2"/>
    <x v="0"/>
    <x v="1"/>
    <x v="0"/>
    <n v="4732616383"/>
  </r>
  <r>
    <x v="443"/>
    <x v="442"/>
    <x v="4"/>
    <n v="5000"/>
    <d v="2019-12-05T00:00:00"/>
    <s v="raunak54iyengar@gmail.com"/>
    <n v="4581472309"/>
    <x v="1"/>
    <x v="4"/>
    <x v="0"/>
    <x v="1"/>
    <n v="4581472309"/>
  </r>
  <r>
    <x v="444"/>
    <x v="443"/>
    <x v="4"/>
    <n v="5000"/>
    <d v="2020-01-24T00:00:00"/>
    <s v="divitmadan@buch.com"/>
    <n v="4458844584"/>
    <x v="2"/>
    <x v="0"/>
    <x v="1"/>
    <x v="5"/>
    <n v="4458844584"/>
  </r>
  <r>
    <x v="445"/>
    <x v="444"/>
    <x v="65"/>
    <n v="143886"/>
    <d v="2019-01-23T00:00:00"/>
    <s v="sahil30@yahoo.com"/>
    <n v="1581186840"/>
    <x v="4"/>
    <x v="4"/>
    <x v="0"/>
    <x v="32"/>
    <n v="1581186840"/>
  </r>
  <r>
    <x v="446"/>
    <x v="445"/>
    <x v="3"/>
    <n v="5000"/>
    <d v="2017-11-11T00:00:00"/>
    <s v="larya@hotmail.com"/>
    <n v="186459888"/>
    <x v="1"/>
    <x v="1"/>
    <x v="0"/>
    <x v="1"/>
    <s v="Not Available"/>
  </r>
  <r>
    <x v="447"/>
    <x v="446"/>
    <x v="3"/>
    <n v="5000"/>
    <d v="2023-01-12T00:00:00"/>
    <s v="ksankaran@iyer-yohannan.com"/>
    <n v="22466"/>
    <x v="4"/>
    <x v="0"/>
    <x v="1"/>
    <x v="2"/>
    <s v="Not Available"/>
  </r>
  <r>
    <x v="448"/>
    <x v="447"/>
    <x v="55"/>
    <n v="5000"/>
    <d v="2019-06-08T00:00:00"/>
    <s v="kiaankalita@sant.com"/>
    <n v="9085087293"/>
    <x v="1"/>
    <x v="0"/>
    <x v="1"/>
    <x v="12"/>
    <n v="9085087293"/>
  </r>
  <r>
    <x v="449"/>
    <x v="448"/>
    <x v="54"/>
    <n v="143886"/>
    <d v="2016-12-25T00:00:00"/>
    <s v="lakshit82@yahoo.com"/>
    <n v="3230709315"/>
    <x v="2"/>
    <x v="1"/>
    <x v="0"/>
    <x v="1"/>
    <n v="3230709315"/>
  </r>
  <r>
    <x v="450"/>
    <x v="449"/>
    <x v="23"/>
    <n v="143886"/>
    <d v="2019-02-24T00:00:00"/>
    <s v="jayangaba@dora.info"/>
    <n v="2595620273"/>
    <x v="1"/>
    <x v="2"/>
    <x v="0"/>
    <x v="33"/>
    <n v="2595620273"/>
  </r>
  <r>
    <x v="451"/>
    <x v="450"/>
    <x v="15"/>
    <n v="5000"/>
    <d v="2020-02-03T00:00:00"/>
    <s v="navya27@din.net"/>
    <n v="3880793523"/>
    <x v="4"/>
    <x v="4"/>
    <x v="1"/>
    <x v="2"/>
    <n v="3880793523"/>
  </r>
  <r>
    <x v="452"/>
    <x v="451"/>
    <x v="36"/>
    <n v="29970"/>
    <d v="2017-12-31T00:00:00"/>
    <s v="kgera@gmail.com"/>
    <n v="2324744512"/>
    <x v="1"/>
    <x v="2"/>
    <x v="0"/>
    <x v="2"/>
    <n v="2324744512"/>
  </r>
  <r>
    <x v="453"/>
    <x v="452"/>
    <x v="4"/>
    <n v="44723"/>
    <d v="2019-01-03T00:00:00"/>
    <s v="hazel59@kaur.com"/>
    <n v="9948919014"/>
    <x v="1"/>
    <x v="0"/>
    <x v="1"/>
    <x v="2"/>
    <n v="9948919014"/>
  </r>
  <r>
    <x v="454"/>
    <x v="453"/>
    <x v="3"/>
    <n v="143886"/>
    <d v="2017-09-09T00:00:00"/>
    <s v="ubadami@yahoo.com"/>
    <n v="917713671"/>
    <x v="4"/>
    <x v="2"/>
    <x v="0"/>
    <x v="17"/>
    <s v="Not Available"/>
  </r>
  <r>
    <x v="455"/>
    <x v="454"/>
    <x v="49"/>
    <n v="462372"/>
    <d v="2022-05-27T00:00:00"/>
    <s v="qbanerjeeyahoo@gmail.com"/>
    <n v="1549510305"/>
    <x v="2"/>
    <x v="3"/>
    <x v="0"/>
    <x v="2"/>
    <n v="1549510305"/>
  </r>
  <r>
    <x v="456"/>
    <x v="455"/>
    <x v="3"/>
    <n v="73393"/>
    <d v="2020-03-24T00:00:00"/>
    <s v="baijuraval@arya.net"/>
    <n v="9840977047"/>
    <x v="1"/>
    <x v="1"/>
    <x v="0"/>
    <x v="25"/>
    <n v="9840977047"/>
  </r>
  <r>
    <x v="457"/>
    <x v="456"/>
    <x v="31"/>
    <n v="134864"/>
    <d v="2021-11-04T00:00:00"/>
    <s v="suleumang@sastry.com"/>
    <n v="6869853095"/>
    <x v="3"/>
    <x v="0"/>
    <x v="1"/>
    <x v="1"/>
    <n v="6869853095"/>
  </r>
  <r>
    <x v="458"/>
    <x v="457"/>
    <x v="3"/>
    <n v="473246"/>
    <d v="2017-10-24T00:00:00"/>
    <s v="hiran77@hotmail.com"/>
    <n v="4562080103"/>
    <x v="1"/>
    <x v="0"/>
    <x v="0"/>
    <x v="1"/>
    <n v="4562080103"/>
  </r>
  <r>
    <x v="459"/>
    <x v="458"/>
    <x v="3"/>
    <n v="5000"/>
    <d v="2025-07-17T00:00:00"/>
    <s v="kanavchaudhrycheema-bala.biz"/>
    <n v="3832981185"/>
    <x v="1"/>
    <x v="1"/>
    <x v="1"/>
    <x v="27"/>
    <n v="3832981185"/>
  </r>
  <r>
    <x v="460"/>
    <x v="459"/>
    <x v="3"/>
    <n v="49819"/>
    <d v="2021-03-23T00:00:00"/>
    <s v="Not available"/>
    <n v="7246017886"/>
    <x v="1"/>
    <x v="2"/>
    <x v="1"/>
    <x v="2"/>
    <n v="7246017886"/>
  </r>
  <r>
    <x v="461"/>
    <x v="460"/>
    <x v="38"/>
    <n v="480049"/>
    <d v="2020-01-28T00:00:00"/>
    <s v="Not available"/>
    <n v="2416264745"/>
    <x v="1"/>
    <x v="1"/>
    <x v="0"/>
    <x v="40"/>
    <n v="2416264745"/>
  </r>
  <r>
    <x v="462"/>
    <x v="461"/>
    <x v="44"/>
    <n v="143886"/>
    <d v="2018-06-08T00:00:00"/>
    <s v="andravanya@gmail.com"/>
    <n v="3707790913"/>
    <x v="1"/>
    <x v="1"/>
    <x v="0"/>
    <x v="0"/>
    <n v="3707790913"/>
  </r>
  <r>
    <x v="463"/>
    <x v="462"/>
    <x v="3"/>
    <n v="45080"/>
    <d v="2021-03-29T00:00:00"/>
    <s v="bedimadhup@bhatia.com"/>
    <n v="1820085496"/>
    <x v="0"/>
    <x v="0"/>
    <x v="0"/>
    <x v="2"/>
    <n v="1820085496"/>
  </r>
  <r>
    <x v="464"/>
    <x v="463"/>
    <x v="42"/>
    <n v="401064"/>
    <d v="2022-01-04T00:00:00"/>
    <s v="jiyaborde@gmail.com"/>
    <n v="759127927"/>
    <x v="1"/>
    <x v="1"/>
    <x v="0"/>
    <x v="2"/>
    <s v="Not Available"/>
  </r>
  <r>
    <x v="465"/>
    <x v="464"/>
    <x v="4"/>
    <n v="143886"/>
    <d v="2024-05-05T00:00:00"/>
    <s v="qkalita@hotmail.com"/>
    <n v="3407776896"/>
    <x v="0"/>
    <x v="1"/>
    <x v="0"/>
    <x v="2"/>
    <n v="3407776896"/>
  </r>
  <r>
    <x v="466"/>
    <x v="465"/>
    <x v="27"/>
    <n v="143886"/>
    <d v="2024-08-07T00:00:00"/>
    <s v="yakshitmajumdarbaria-aggarwal@gmail.com"/>
    <n v="46850"/>
    <x v="3"/>
    <x v="4"/>
    <x v="1"/>
    <x v="17"/>
    <s v="Not Available"/>
  </r>
  <r>
    <x v="467"/>
    <x v="466"/>
    <x v="4"/>
    <n v="5000"/>
    <d v="2023-12-08T00:00:00"/>
    <s v="lakshit75@bhalla.com"/>
    <n v="8053256509"/>
    <x v="1"/>
    <x v="0"/>
    <x v="0"/>
    <x v="1"/>
    <n v="8053256509"/>
  </r>
  <r>
    <x v="468"/>
    <x v="467"/>
    <x v="3"/>
    <n v="5000"/>
    <d v="2017-04-24T00:00:00"/>
    <s v="navya01@balasubramanian.biz"/>
    <n v="8892537211"/>
    <x v="1"/>
    <x v="1"/>
    <x v="1"/>
    <x v="0"/>
    <n v="8892537211"/>
  </r>
  <r>
    <x v="469"/>
    <x v="468"/>
    <x v="4"/>
    <n v="143886"/>
    <d v="2024-03-30T00:00:00"/>
    <s v="dhanukrajan@dara.com"/>
    <n v="6384878730"/>
    <x v="0"/>
    <x v="3"/>
    <x v="1"/>
    <x v="2"/>
    <n v="6384878730"/>
  </r>
  <r>
    <x v="470"/>
    <x v="469"/>
    <x v="66"/>
    <n v="69123"/>
    <d v="2016-08-25T00:00:00"/>
    <s v="dhanukvenkateshdugar@gmail.com"/>
    <n v="41086"/>
    <x v="3"/>
    <x v="0"/>
    <x v="0"/>
    <x v="23"/>
    <s v="Not Available"/>
  </r>
  <r>
    <x v="471"/>
    <x v="470"/>
    <x v="3"/>
    <n v="346997"/>
    <d v="2021-04-27T00:00:00"/>
    <s v="dhruv17@sheth.com"/>
    <n v="2194262493"/>
    <x v="4"/>
    <x v="0"/>
    <x v="0"/>
    <x v="33"/>
    <n v="2194262493"/>
  </r>
  <r>
    <x v="472"/>
    <x v="471"/>
    <x v="3"/>
    <n v="143886"/>
    <d v="2022-01-12T00:00:00"/>
    <s v="jayeshchanda@dugar.info"/>
    <n v="4597867357"/>
    <x v="2"/>
    <x v="2"/>
    <x v="1"/>
    <x v="2"/>
    <n v="4597867357"/>
  </r>
  <r>
    <x v="473"/>
    <x v="472"/>
    <x v="50"/>
    <n v="143886"/>
    <d v="2017-09-21T00:00:00"/>
    <s v="ksamra@yahoo.com"/>
    <n v="4870762939"/>
    <x v="4"/>
    <x v="0"/>
    <x v="0"/>
    <x v="20"/>
    <n v="4870762939"/>
  </r>
  <r>
    <x v="474"/>
    <x v="473"/>
    <x v="18"/>
    <n v="143886"/>
    <d v="2021-09-18T00:00:00"/>
    <s v="agarwalvidur@dora-trivedi.info"/>
    <n v="1131022007"/>
    <x v="2"/>
    <x v="3"/>
    <x v="0"/>
    <x v="1"/>
    <n v="1131022007"/>
  </r>
  <r>
    <x v="475"/>
    <x v="474"/>
    <x v="3"/>
    <n v="5000"/>
    <d v="2023-10-08T00:00:00"/>
    <s v="dedishani@rastogi-chaudhry.com"/>
    <n v="7473669578"/>
    <x v="1"/>
    <x v="0"/>
    <x v="1"/>
    <x v="0"/>
    <n v="7473669578"/>
  </r>
  <r>
    <x v="476"/>
    <x v="475"/>
    <x v="3"/>
    <n v="111402"/>
    <d v="2024-10-01T00:00:00"/>
    <s v="mupadhyay@hotmail.com"/>
    <n v="8485953656"/>
    <x v="2"/>
    <x v="3"/>
    <x v="0"/>
    <x v="2"/>
    <n v="8485953656"/>
  </r>
  <r>
    <x v="477"/>
    <x v="476"/>
    <x v="3"/>
    <n v="143886"/>
    <d v="2024-10-07T00:00:00"/>
    <s v="chandraonkar@hotmail.com"/>
    <n v="9803489180"/>
    <x v="2"/>
    <x v="2"/>
    <x v="0"/>
    <x v="29"/>
    <n v="9803489180"/>
  </r>
  <r>
    <x v="478"/>
    <x v="477"/>
    <x v="3"/>
    <n v="5000"/>
    <d v="2025-05-13T00:00:00"/>
    <s v="jborah@yahoo.com"/>
    <n v="1175746284"/>
    <x v="1"/>
    <x v="4"/>
    <x v="0"/>
    <x v="14"/>
    <n v="1175746284"/>
  </r>
  <r>
    <x v="479"/>
    <x v="478"/>
    <x v="23"/>
    <n v="143886"/>
    <d v="2021-01-09T00:00:00"/>
    <s v="samairaramesh@salvi.net"/>
    <n v="8659428282"/>
    <x v="3"/>
    <x v="0"/>
    <x v="1"/>
    <x v="18"/>
    <n v="8659428282"/>
  </r>
  <r>
    <x v="480"/>
    <x v="479"/>
    <x v="3"/>
    <n v="378444"/>
    <d v="2023-09-11T00:00:00"/>
    <s v="bbadal@gmail.com"/>
    <n v="7888946982"/>
    <x v="2"/>
    <x v="3"/>
    <x v="0"/>
    <x v="1"/>
    <n v="7888946982"/>
  </r>
  <r>
    <x v="481"/>
    <x v="480"/>
    <x v="13"/>
    <n v="44406"/>
    <d v="2024-11-10T00:00:00"/>
    <s v="samiharajagopalan@hotmail.com"/>
    <n v="9211111222"/>
    <x v="3"/>
    <x v="3"/>
    <x v="0"/>
    <x v="1"/>
    <n v="9211111222"/>
  </r>
  <r>
    <x v="482"/>
    <x v="481"/>
    <x v="3"/>
    <n v="114339"/>
    <d v="2019-08-14T00:00:00"/>
    <s v="ogupta@tandon.com"/>
    <n v="4981723752"/>
    <x v="1"/>
    <x v="0"/>
    <x v="1"/>
    <x v="40"/>
    <n v="4981723752"/>
  </r>
  <r>
    <x v="483"/>
    <x v="482"/>
    <x v="3"/>
    <n v="143886"/>
    <d v="2025-08-28T00:00:00"/>
    <s v="siya54@hotmail.com"/>
    <n v="697130477"/>
    <x v="1"/>
    <x v="2"/>
    <x v="1"/>
    <x v="1"/>
    <s v="Not Available"/>
  </r>
  <r>
    <x v="484"/>
    <x v="483"/>
    <x v="3"/>
    <n v="143886"/>
    <d v="2020-02-19T00:00:00"/>
    <s v="Not available"/>
    <n v="790282608"/>
    <x v="4"/>
    <x v="0"/>
    <x v="0"/>
    <x v="0"/>
    <s v="Not Available"/>
  </r>
  <r>
    <x v="485"/>
    <x v="484"/>
    <x v="62"/>
    <n v="143886"/>
    <d v="2025-08-14T00:00:00"/>
    <s v="samairaissac@chokshi.org"/>
    <n v="2193904871"/>
    <x v="2"/>
    <x v="0"/>
    <x v="1"/>
    <x v="1"/>
    <n v="2193904871"/>
  </r>
  <r>
    <x v="486"/>
    <x v="485"/>
    <x v="1"/>
    <n v="294617"/>
    <d v="2019-09-09T00:00:00"/>
    <s v="badalkrishnan@gill-chacko.com"/>
    <n v="1090412229"/>
    <x v="0"/>
    <x v="0"/>
    <x v="0"/>
    <x v="19"/>
    <n v="10904122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3AF283-FE83-4EA5-A95A-7CCC3D882A3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0:B36" firstHeaderRow="1" firstDataRow="1" firstDataCol="1"/>
  <pivotFields count="12">
    <pivotField axis="axisRow" showAll="0" measureFilter="1">
      <items count="4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t="default"/>
      </items>
    </pivotField>
    <pivotField showAll="0"/>
    <pivotField showAll="0"/>
    <pivotField dataField="1" showAll="0"/>
    <pivotField numFmtId="14" showAll="0"/>
    <pivotField showAll="0"/>
    <pivotField showAll="0"/>
    <pivotField showAll="0">
      <items count="6">
        <item x="0"/>
        <item x="2"/>
        <item x="3"/>
        <item x="4"/>
        <item x="1"/>
        <item t="default"/>
      </items>
    </pivotField>
    <pivotField showAll="0"/>
    <pivotField showAll="0"/>
    <pivotField showAll="0"/>
    <pivotField showAll="0"/>
  </pivotFields>
  <rowFields count="1">
    <field x="0"/>
  </rowFields>
  <rowItems count="6">
    <i>
      <x v="23"/>
    </i>
    <i>
      <x v="90"/>
    </i>
    <i>
      <x v="155"/>
    </i>
    <i>
      <x v="354"/>
    </i>
    <i>
      <x v="401"/>
    </i>
    <i t="grand">
      <x/>
    </i>
  </rowItems>
  <colItems count="1">
    <i/>
  </colItems>
  <dataFields count="1">
    <dataField name="Sum of salary" fld="3" baseField="0" baseItem="0"/>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E60336-9DB5-43A6-ADFF-BD31B4CC313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11:I17" firstHeaderRow="1" firstDataRow="1" firstDataCol="1"/>
  <pivotFields count="12">
    <pivotField dataField="1" showAll="0"/>
    <pivotField showAll="0"/>
    <pivotField axis="axisRow" showAll="0">
      <items count="8">
        <item x="0"/>
        <item x="1"/>
        <item x="2"/>
        <item x="3"/>
        <item x="4"/>
        <item x="5"/>
        <item x="6"/>
        <item t="default"/>
      </items>
    </pivotField>
    <pivotField showAll="0"/>
    <pivotField numFmtId="14" showAll="0"/>
    <pivotField showAll="0"/>
    <pivotField showAll="0"/>
    <pivotField showAll="0">
      <items count="6">
        <item x="0"/>
        <item x="2"/>
        <item x="3"/>
        <item x="4"/>
        <item x="1"/>
        <item t="default"/>
      </items>
    </pivotField>
    <pivotField showAll="0">
      <items count="6">
        <item x="4"/>
        <item x="2"/>
        <item x="3"/>
        <item x="0"/>
        <item x="1"/>
        <item t="default"/>
      </items>
    </pivotField>
    <pivotField showAll="0"/>
    <pivotField showAll="0">
      <items count="12">
        <item x="0"/>
        <item x="1"/>
        <item x="2"/>
        <item x="3"/>
        <item x="4"/>
        <item x="5"/>
        <item x="6"/>
        <item x="7"/>
        <item x="8"/>
        <item x="9"/>
        <item x="10"/>
        <item t="default"/>
      </items>
    </pivotField>
    <pivotField showAll="0"/>
  </pivotFields>
  <rowFields count="1">
    <field x="2"/>
  </rowFields>
  <rowItems count="6">
    <i>
      <x v="1"/>
    </i>
    <i>
      <x v="2"/>
    </i>
    <i>
      <x v="3"/>
    </i>
    <i>
      <x v="4"/>
    </i>
    <i>
      <x v="5"/>
    </i>
    <i t="grand">
      <x/>
    </i>
  </rowItems>
  <colItems count="1">
    <i/>
  </colItems>
  <dataFields count="1">
    <dataField name="Count of emp_id" fld="0" subtotal="count"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6E1E7C-E310-4768-85E0-CCD1FF52EAF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1:F7" firstHeaderRow="1" firstDataRow="1" firstDataCol="1"/>
  <pivotFields count="12">
    <pivotField dataField="1" showAll="0"/>
    <pivotField showAll="0"/>
    <pivotField showAll="0">
      <items count="8">
        <item x="0"/>
        <item x="1"/>
        <item x="2"/>
        <item x="3"/>
        <item x="4"/>
        <item x="5"/>
        <item x="6"/>
        <item t="default"/>
      </items>
    </pivotField>
    <pivotField showAll="0"/>
    <pivotField numFmtId="14" showAll="0"/>
    <pivotField showAll="0"/>
    <pivotField showAll="0"/>
    <pivotField showAll="0">
      <items count="6">
        <item x="0"/>
        <item x="2"/>
        <item x="3"/>
        <item x="4"/>
        <item x="1"/>
        <item t="default"/>
      </items>
    </pivotField>
    <pivotField axis="axisRow" showAll="0" sortType="ascending">
      <items count="6">
        <item x="1"/>
        <item x="0"/>
        <item x="3"/>
        <item x="2"/>
        <item x="4"/>
        <item t="default"/>
      </items>
      <autoSortScope>
        <pivotArea dataOnly="0" outline="0" fieldPosition="0">
          <references count="1">
            <reference field="4294967294" count="1" selected="0">
              <x v="0"/>
            </reference>
          </references>
        </pivotArea>
      </autoSortScope>
    </pivotField>
    <pivotField showAll="0"/>
    <pivotField showAll="0">
      <items count="12">
        <item x="0"/>
        <item x="1"/>
        <item x="2"/>
        <item x="3"/>
        <item x="4"/>
        <item x="5"/>
        <item x="6"/>
        <item x="7"/>
        <item x="8"/>
        <item x="9"/>
        <item x="10"/>
        <item t="default"/>
      </items>
    </pivotField>
    <pivotField showAll="0"/>
  </pivotFields>
  <rowFields count="1">
    <field x="8"/>
  </rowFields>
  <rowItems count="6">
    <i>
      <x v="4"/>
    </i>
    <i>
      <x v="2"/>
    </i>
    <i>
      <x/>
    </i>
    <i>
      <x v="3"/>
    </i>
    <i>
      <x v="1"/>
    </i>
    <i t="grand">
      <x/>
    </i>
  </rowItems>
  <colItems count="1">
    <i/>
  </colItems>
  <dataFields count="1">
    <dataField name="Count of emp_id" fld="0" subtotal="count" baseField="0" baseItem="0"/>
  </dataFields>
  <chartFormats count="1">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5AEBF0-AA03-4C73-9F62-544EE857EF7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1:B17" firstHeaderRow="1" firstDataRow="1" firstDataCol="1"/>
  <pivotFields count="12">
    <pivotField showAll="0"/>
    <pivotField showAll="0"/>
    <pivotField showAll="0">
      <items count="8">
        <item x="0"/>
        <item x="1"/>
        <item x="2"/>
        <item x="3"/>
        <item x="4"/>
        <item x="5"/>
        <item x="6"/>
        <item t="default"/>
      </items>
    </pivotField>
    <pivotField dataField="1" showAll="0"/>
    <pivotField numFmtId="14" showAll="0"/>
    <pivotField showAll="0"/>
    <pivotField showAll="0"/>
    <pivotField axis="axisRow" showAll="0">
      <items count="6">
        <item x="0"/>
        <item x="2"/>
        <item x="3"/>
        <item x="4"/>
        <item x="1"/>
        <item t="default"/>
      </items>
    </pivotField>
    <pivotField showAll="0"/>
    <pivotField showAll="0"/>
    <pivotField showAll="0">
      <items count="12">
        <item x="0"/>
        <item x="1"/>
        <item x="2"/>
        <item x="3"/>
        <item x="4"/>
        <item x="5"/>
        <item x="6"/>
        <item x="7"/>
        <item x="8"/>
        <item x="9"/>
        <item x="10"/>
        <item t="default"/>
      </items>
    </pivotField>
    <pivotField showAll="0"/>
  </pivotFields>
  <rowFields count="1">
    <field x="7"/>
  </rowFields>
  <rowItems count="6">
    <i>
      <x/>
    </i>
    <i>
      <x v="1"/>
    </i>
    <i>
      <x v="2"/>
    </i>
    <i>
      <x v="3"/>
    </i>
    <i>
      <x v="4"/>
    </i>
    <i t="grand">
      <x/>
    </i>
  </rowItems>
  <colItems count="1">
    <i/>
  </colItems>
  <dataFields count="1">
    <dataField name="Sum of salary" fld="3" baseField="0" baseItem="0" numFmtId="42"/>
  </dataField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C3C2F9-2FE3-48FE-A610-D91F359EFE6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20:B23" firstHeaderRow="1" firstDataRow="1" firstDataCol="1"/>
  <pivotFields count="12">
    <pivotField dataField="1" showAll="0">
      <items count="4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t="default"/>
      </items>
    </pivotField>
    <pivotField showAll="0"/>
    <pivotField showAll="0">
      <items count="8">
        <item x="0"/>
        <item x="1"/>
        <item x="2"/>
        <item x="3"/>
        <item x="4"/>
        <item x="5"/>
        <item x="6"/>
        <item t="default"/>
      </items>
    </pivotField>
    <pivotField showAll="0"/>
    <pivotField numFmtId="14" showAll="0"/>
    <pivotField showAll="0"/>
    <pivotField showAll="0"/>
    <pivotField showAll="0">
      <items count="6">
        <item x="0"/>
        <item x="2"/>
        <item x="3"/>
        <item x="4"/>
        <item x="1"/>
        <item t="default"/>
      </items>
    </pivotField>
    <pivotField showAll="0"/>
    <pivotField axis="axisRow" showAll="0">
      <items count="3">
        <item x="1"/>
        <item x="0"/>
        <item t="default"/>
      </items>
    </pivotField>
    <pivotField showAll="0">
      <items count="12">
        <item x="0"/>
        <item x="1"/>
        <item x="2"/>
        <item x="3"/>
        <item x="4"/>
        <item x="5"/>
        <item x="6"/>
        <item x="7"/>
        <item x="8"/>
        <item x="9"/>
        <item x="10"/>
        <item t="default"/>
      </items>
    </pivotField>
    <pivotField showAll="0"/>
  </pivotFields>
  <rowFields count="1">
    <field x="9"/>
  </rowFields>
  <rowItems count="3">
    <i>
      <x/>
    </i>
    <i>
      <x v="1"/>
    </i>
    <i t="grand">
      <x/>
    </i>
  </rowItems>
  <colItems count="1">
    <i/>
  </colItems>
  <dataFields count="1">
    <dataField name="Count of emp_id" fld="0" subtotal="count" showDataAs="percentOfCol" baseField="0" baseItem="0" numFmtId="10"/>
  </dataFields>
  <chartFormats count="3">
    <chartFormat chart="10" format="3" series="1">
      <pivotArea type="data" outline="0" fieldPosition="0">
        <references count="1">
          <reference field="4294967294" count="1" selected="0">
            <x v="0"/>
          </reference>
        </references>
      </pivotArea>
    </chartFormat>
    <chartFormat chart="10" format="4">
      <pivotArea type="data" outline="0" fieldPosition="0">
        <references count="2">
          <reference field="4294967294" count="1" selected="0">
            <x v="0"/>
          </reference>
          <reference field="9" count="1" selected="0">
            <x v="0"/>
          </reference>
        </references>
      </pivotArea>
    </chartFormat>
    <chartFormat chart="10" format="5">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AEEBA3-4C7C-4225-AFCD-12F35A55181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H1:I7" firstHeaderRow="1" firstDataRow="1" firstDataCol="1"/>
  <pivotFields count="12">
    <pivotField showAll="0"/>
    <pivotField showAll="0"/>
    <pivotField showAll="0">
      <items count="8">
        <item x="0"/>
        <item x="1"/>
        <item x="2"/>
        <item x="3"/>
        <item x="4"/>
        <item x="5"/>
        <item x="6"/>
        <item t="default"/>
      </items>
    </pivotField>
    <pivotField showAll="0"/>
    <pivotField numFmtId="14" showAll="0"/>
    <pivotField showAll="0"/>
    <pivotField showAll="0"/>
    <pivotField axis="axisRow" showAll="0">
      <items count="6">
        <item x="0"/>
        <item x="2"/>
        <item x="3"/>
        <item x="4"/>
        <item x="1"/>
        <item t="default"/>
      </items>
    </pivotField>
    <pivotField showAll="0">
      <items count="6">
        <item x="4"/>
        <item x="2"/>
        <item x="3"/>
        <item x="0"/>
        <item x="1"/>
        <item t="default"/>
      </items>
    </pivotField>
    <pivotField showAll="0"/>
    <pivotField dataField="1" showAll="0">
      <items count="12">
        <item x="0"/>
        <item x="1"/>
        <item x="2"/>
        <item x="3"/>
        <item x="4"/>
        <item x="5"/>
        <item x="6"/>
        <item x="7"/>
        <item x="8"/>
        <item x="9"/>
        <item x="10"/>
        <item t="default"/>
      </items>
    </pivotField>
    <pivotField showAll="0"/>
  </pivotFields>
  <rowFields count="1">
    <field x="7"/>
  </rowFields>
  <rowItems count="6">
    <i>
      <x/>
    </i>
    <i>
      <x v="1"/>
    </i>
    <i>
      <x v="2"/>
    </i>
    <i>
      <x v="3"/>
    </i>
    <i>
      <x v="4"/>
    </i>
    <i t="grand">
      <x/>
    </i>
  </rowItems>
  <colItems count="1">
    <i/>
  </colItems>
  <dataFields count="1">
    <dataField name="Sum of performance_score" fld="10" showDataAs="percentOfTotal" baseField="0" baseItem="0" numFmtId="10"/>
  </dataFields>
  <formats count="2">
    <format dxfId="1">
      <pivotArea dataOnly="0" labelOnly="1" outline="0" axis="axisValues" fieldPosition="0"/>
    </format>
    <format dxfId="0">
      <pivotArea outline="0" fieldPosition="0">
        <references count="1">
          <reference field="4294967294" count="1">
            <x v="0"/>
          </reference>
        </references>
      </pivotArea>
    </format>
  </formats>
  <chartFormats count="1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7" count="1" selected="0">
            <x v="0"/>
          </reference>
        </references>
      </pivotArea>
    </chartFormat>
    <chartFormat chart="3" format="3">
      <pivotArea type="data" outline="0" fieldPosition="0">
        <references count="2">
          <reference field="4294967294" count="1" selected="0">
            <x v="0"/>
          </reference>
          <reference field="7" count="1" selected="0">
            <x v="1"/>
          </reference>
        </references>
      </pivotArea>
    </chartFormat>
    <chartFormat chart="3" format="4">
      <pivotArea type="data" outline="0" fieldPosition="0">
        <references count="2">
          <reference field="4294967294" count="1" selected="0">
            <x v="0"/>
          </reference>
          <reference field="7" count="1" selected="0">
            <x v="2"/>
          </reference>
        </references>
      </pivotArea>
    </chartFormat>
    <chartFormat chart="3" format="5">
      <pivotArea type="data" outline="0" fieldPosition="0">
        <references count="2">
          <reference field="4294967294" count="1" selected="0">
            <x v="0"/>
          </reference>
          <reference field="7" count="1" selected="0">
            <x v="3"/>
          </reference>
        </references>
      </pivotArea>
    </chartFormat>
    <chartFormat chart="3" format="6">
      <pivotArea type="data" outline="0" fieldPosition="0">
        <references count="2">
          <reference field="4294967294" count="1" selected="0">
            <x v="0"/>
          </reference>
          <reference field="7" count="1" selected="0">
            <x v="4"/>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7" count="1" selected="0">
            <x v="0"/>
          </reference>
        </references>
      </pivotArea>
    </chartFormat>
    <chartFormat chart="4" format="9">
      <pivotArea type="data" outline="0" fieldPosition="0">
        <references count="2">
          <reference field="4294967294" count="1" selected="0">
            <x v="0"/>
          </reference>
          <reference field="7" count="1" selected="0">
            <x v="1"/>
          </reference>
        </references>
      </pivotArea>
    </chartFormat>
    <chartFormat chart="4" format="10">
      <pivotArea type="data" outline="0" fieldPosition="0">
        <references count="2">
          <reference field="4294967294" count="1" selected="0">
            <x v="0"/>
          </reference>
          <reference field="7" count="1" selected="0">
            <x v="2"/>
          </reference>
        </references>
      </pivotArea>
    </chartFormat>
    <chartFormat chart="4" format="11">
      <pivotArea type="data" outline="0" fieldPosition="0">
        <references count="2">
          <reference field="4294967294" count="1" selected="0">
            <x v="0"/>
          </reference>
          <reference field="7" count="1" selected="0">
            <x v="3"/>
          </reference>
        </references>
      </pivotArea>
    </chartFormat>
    <chartFormat chart="4" format="12">
      <pivotArea type="data" outline="0" fieldPosition="0">
        <references count="2">
          <reference field="4294967294" count="1" selected="0">
            <x v="0"/>
          </reference>
          <reference field="7" count="1" selected="0">
            <x v="4"/>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7E7B24-F790-4158-B316-47DC7DEFF0C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7" firstHeaderRow="1" firstDataRow="1" firstDataCol="1"/>
  <pivotFields count="12">
    <pivotField dataField="1" showAll="0"/>
    <pivotField showAll="0"/>
    <pivotField showAll="0">
      <items count="8">
        <item x="0"/>
        <item x="1"/>
        <item x="2"/>
        <item x="3"/>
        <item x="4"/>
        <item x="5"/>
        <item x="6"/>
        <item t="default"/>
      </items>
    </pivotField>
    <pivotField showAll="0"/>
    <pivotField numFmtId="14" showAll="0"/>
    <pivotField showAll="0"/>
    <pivotField showAll="0"/>
    <pivotField axis="axisRow" showAll="0" sortType="ascending">
      <items count="6">
        <item x="0"/>
        <item x="2"/>
        <item x="3"/>
        <item x="4"/>
        <item x="1"/>
        <item t="default"/>
      </items>
    </pivotField>
    <pivotField showAll="0"/>
    <pivotField showAll="0"/>
    <pivotField showAll="0">
      <items count="12">
        <item x="0"/>
        <item x="1"/>
        <item x="2"/>
        <item x="3"/>
        <item x="4"/>
        <item x="5"/>
        <item x="6"/>
        <item x="7"/>
        <item x="8"/>
        <item x="9"/>
        <item x="10"/>
        <item t="default"/>
      </items>
    </pivotField>
    <pivotField showAll="0"/>
  </pivotFields>
  <rowFields count="1">
    <field x="7"/>
  </rowFields>
  <rowItems count="6">
    <i>
      <x/>
    </i>
    <i>
      <x v="1"/>
    </i>
    <i>
      <x v="2"/>
    </i>
    <i>
      <x v="3"/>
    </i>
    <i>
      <x v="4"/>
    </i>
    <i t="grand">
      <x/>
    </i>
  </rowItems>
  <colItems count="1">
    <i/>
  </colItems>
  <dataFields count="1">
    <dataField name="Count of emp_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3FAE46-06C8-4D47-A5D1-0972050B882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E11:F27" firstHeaderRow="1" firstDataRow="1" firstDataCol="1"/>
  <pivotFields count="12">
    <pivotField dataField="1" showAll="0"/>
    <pivotField showAll="0"/>
    <pivotField showAll="0">
      <items count="8">
        <item x="0"/>
        <item x="1"/>
        <item x="2"/>
        <item x="3"/>
        <item x="4"/>
        <item x="5"/>
        <item x="6"/>
        <item t="default"/>
      </items>
    </pivotField>
    <pivotField showAll="0"/>
    <pivotField numFmtId="14" showAll="0"/>
    <pivotField showAll="0"/>
    <pivotField showAll="0"/>
    <pivotField axis="axisRow" showAll="0">
      <items count="6">
        <item x="0"/>
        <item x="2"/>
        <item x="3"/>
        <item x="4"/>
        <item x="1"/>
        <item t="default"/>
      </items>
    </pivotField>
    <pivotField showAll="0"/>
    <pivotField axis="axisRow" showAll="0">
      <items count="3">
        <item x="1"/>
        <item x="0"/>
        <item t="default"/>
      </items>
    </pivotField>
    <pivotField showAll="0">
      <items count="12">
        <item x="0"/>
        <item x="1"/>
        <item x="2"/>
        <item x="3"/>
        <item x="4"/>
        <item x="5"/>
        <item x="6"/>
        <item x="7"/>
        <item x="8"/>
        <item x="9"/>
        <item x="10"/>
        <item t="default"/>
      </items>
    </pivotField>
    <pivotField showAll="0"/>
  </pivotFields>
  <rowFields count="2">
    <field x="7"/>
    <field x="9"/>
  </rowFields>
  <rowItems count="16">
    <i>
      <x/>
    </i>
    <i r="1">
      <x/>
    </i>
    <i r="1">
      <x v="1"/>
    </i>
    <i>
      <x v="1"/>
    </i>
    <i r="1">
      <x/>
    </i>
    <i r="1">
      <x v="1"/>
    </i>
    <i>
      <x v="2"/>
    </i>
    <i r="1">
      <x/>
    </i>
    <i r="1">
      <x v="1"/>
    </i>
    <i>
      <x v="3"/>
    </i>
    <i r="1">
      <x/>
    </i>
    <i r="1">
      <x v="1"/>
    </i>
    <i>
      <x v="4"/>
    </i>
    <i r="1">
      <x/>
    </i>
    <i r="1">
      <x v="1"/>
    </i>
    <i t="grand">
      <x/>
    </i>
  </rowItems>
  <colItems count="1">
    <i/>
  </colItems>
  <dataFields count="1">
    <dataField name="Count of emp_id" fld="0" subtotal="count" baseField="0" baseItem="0"/>
  </dataFields>
  <chartFormats count="6">
    <chartFormat chart="20" format="3" series="1">
      <pivotArea type="data" outline="0" fieldPosition="0">
        <references count="1">
          <reference field="4294967294" count="1" selected="0">
            <x v="0"/>
          </reference>
        </references>
      </pivotArea>
    </chartFormat>
    <chartFormat chart="20" format="4">
      <pivotArea type="data" outline="0" fieldPosition="0">
        <references count="3">
          <reference field="4294967294" count="1" selected="0">
            <x v="0"/>
          </reference>
          <reference field="7" count="1" selected="0">
            <x v="0"/>
          </reference>
          <reference field="9" count="1" selected="0">
            <x v="0"/>
          </reference>
        </references>
      </pivotArea>
    </chartFormat>
    <chartFormat chart="20" format="5">
      <pivotArea type="data" outline="0" fieldPosition="0">
        <references count="3">
          <reference field="4294967294" count="1" selected="0">
            <x v="0"/>
          </reference>
          <reference field="7" count="1" selected="0">
            <x v="1"/>
          </reference>
          <reference field="9" count="1" selected="0">
            <x v="0"/>
          </reference>
        </references>
      </pivotArea>
    </chartFormat>
    <chartFormat chart="20" format="6">
      <pivotArea type="data" outline="0" fieldPosition="0">
        <references count="3">
          <reference field="4294967294" count="1" selected="0">
            <x v="0"/>
          </reference>
          <reference field="7" count="1" selected="0">
            <x v="2"/>
          </reference>
          <reference field="9" count="1" selected="0">
            <x v="0"/>
          </reference>
        </references>
      </pivotArea>
    </chartFormat>
    <chartFormat chart="20" format="7">
      <pivotArea type="data" outline="0" fieldPosition="0">
        <references count="3">
          <reference field="4294967294" count="1" selected="0">
            <x v="0"/>
          </reference>
          <reference field="7" count="1" selected="0">
            <x v="3"/>
          </reference>
          <reference field="9" count="1" selected="0">
            <x v="0"/>
          </reference>
        </references>
      </pivotArea>
    </chartFormat>
    <chartFormat chart="20" format="8">
      <pivotArea type="data" outline="0" fieldPosition="0">
        <references count="3">
          <reference field="4294967294" count="1" selected="0">
            <x v="0"/>
          </reference>
          <reference field="7" count="1" selected="0">
            <x v="4"/>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6F5062B-22D9-46BA-ADFF-BEF52CC7AC7B}" sourceName="department">
  <pivotTables>
    <pivotTable tabId="2" name="PivotTable4"/>
    <pivotTable tabId="2" name="PivotTable2"/>
    <pivotTable tabId="2" name="PivotTable3"/>
    <pivotTable tabId="2" name="PivotTable5"/>
    <pivotTable tabId="2" name="PivotTable6"/>
    <pivotTable tabId="2" name="PivotTable8"/>
    <pivotTable tabId="2" name="PivotTable9"/>
    <pivotTable tabId="2" name="PivotTable7"/>
  </pivotTables>
  <data>
    <tabular pivotCacheId="698431778">
      <items count="5">
        <i x="0" s="1"/>
        <i x="2" s="1"/>
        <i x="3"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B1AF0B2-933D-41F3-ADFF-566EF55C5D9A}" sourceName="gender">
  <extLst>
    <x:ext xmlns:x15="http://schemas.microsoft.com/office/spreadsheetml/2010/11/main" uri="{2F2917AC-EB37-4324-AD4E-5DD8C200BD13}">
      <x15:tableSlicerCache tableId="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CA50BDD-66BA-4E16-9264-CD37C7BB9C3A}" cache="Slicer_department" caption="department" style="SlicerStyleDark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1DB2D7A-BE0B-4629-9A5F-F433C807057F}" cache="Slicer_gender" caption="gender"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0B7184-8354-4DAE-A6CB-7F8F42500027}" name="Table1" displayName="Table1" ref="A1:L488" totalsRowShown="0">
  <autoFilter ref="A1:L488" xr:uid="{7B0B7184-8354-4DAE-A6CB-7F8F42500027}"/>
  <tableColumns count="12">
    <tableColumn id="1" xr3:uid="{A36755AE-2B3C-4E81-B428-9EA515860E6C}" name="emp_id"/>
    <tableColumn id="2" xr3:uid="{E083A563-FADF-479B-B533-BA546C420F9A}" name="name"/>
    <tableColumn id="3" xr3:uid="{B3E2837E-0CB3-48D2-923C-045F102E004A}" name="age"/>
    <tableColumn id="4" xr3:uid="{D2A64830-2493-4BBF-A673-E7FABC1656DD}" name="salary"/>
    <tableColumn id="5" xr3:uid="{F3A96AE1-C2C1-4628-9920-7EB269552FD8}" name="joining_date" dataDxfId="3"/>
    <tableColumn id="6" xr3:uid="{E195BCE6-34DC-4DC2-B318-25B864DA0473}" name="email"/>
    <tableColumn id="7" xr3:uid="{327E6561-01E7-4FFB-842F-EA4588572CF4}" name="phone"/>
    <tableColumn id="8" xr3:uid="{97178E44-21DE-44D3-9AAC-DA1E13D48864}" name="department"/>
    <tableColumn id="9" xr3:uid="{50776AAF-166A-4E26-868C-D17F0E5F711B}" name="city"/>
    <tableColumn id="10" xr3:uid="{1BCAC9A0-FFF7-4FD2-A9EC-A8C2D0E0EF37}" name="gender"/>
    <tableColumn id="11" xr3:uid="{C30A02CB-6F8E-49E1-B855-4C3EE39D7EB5}" name="performance_score"/>
    <tableColumn id="12" xr3:uid="{1F6FDD03-C9C9-46E0-B405-F7EEFD932B22}" name="Phone_clean" dataDxfId="2">
      <calculatedColumnFormula>IF(LEN(Table1[[#This Row],[phone]]) = 10, Table1[[#This Row],[phone]],"Not Available")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0D6EE-563F-43FC-8B13-08146052F6C3}">
  <dimension ref="A1:L488"/>
  <sheetViews>
    <sheetView topLeftCell="A2" zoomScale="85" zoomScaleNormal="85" workbookViewId="0">
      <selection activeCell="B7" sqref="B7"/>
    </sheetView>
  </sheetViews>
  <sheetFormatPr defaultRowHeight="15" x14ac:dyDescent="0.25"/>
  <cols>
    <col min="1" max="1" width="9.7109375" customWidth="1"/>
    <col min="2" max="2" width="21.7109375" bestFit="1" customWidth="1"/>
    <col min="3" max="3" width="6.28515625" customWidth="1"/>
    <col min="4" max="4" width="8.42578125" customWidth="1"/>
    <col min="5" max="5" width="14.140625" customWidth="1"/>
    <col min="6" max="6" width="42.5703125" bestFit="1" customWidth="1"/>
    <col min="7" max="7" width="11" bestFit="1" customWidth="1"/>
    <col min="8" max="8" width="13.7109375" customWidth="1"/>
    <col min="9" max="9" width="10" bestFit="1" customWidth="1"/>
    <col min="10" max="10" width="9.42578125" customWidth="1"/>
    <col min="11" max="11" width="20.5703125" customWidth="1"/>
    <col min="12" max="12" width="14.140625" customWidth="1"/>
  </cols>
  <sheetData>
    <row r="1" spans="1:12" x14ac:dyDescent="0.25">
      <c r="A1" t="s">
        <v>0</v>
      </c>
      <c r="B1" t="s">
        <v>1</v>
      </c>
      <c r="C1" t="s">
        <v>2</v>
      </c>
      <c r="D1" t="s">
        <v>3</v>
      </c>
      <c r="E1" t="s">
        <v>4</v>
      </c>
      <c r="F1" t="s">
        <v>5</v>
      </c>
      <c r="G1" t="s">
        <v>6</v>
      </c>
      <c r="H1" t="s">
        <v>7</v>
      </c>
      <c r="I1" t="s">
        <v>8</v>
      </c>
      <c r="J1" t="s">
        <v>9</v>
      </c>
      <c r="K1" t="s">
        <v>10</v>
      </c>
      <c r="L1" s="2" t="s">
        <v>1464</v>
      </c>
    </row>
    <row r="2" spans="1:12" x14ac:dyDescent="0.25">
      <c r="A2" t="s">
        <v>11</v>
      </c>
      <c r="B2" t="s">
        <v>12</v>
      </c>
      <c r="C2">
        <v>26</v>
      </c>
      <c r="D2">
        <v>107970</v>
      </c>
      <c r="E2" s="1">
        <v>44551</v>
      </c>
      <c r="F2" t="s">
        <v>13</v>
      </c>
      <c r="G2">
        <v>7460480880</v>
      </c>
      <c r="H2" t="s">
        <v>14</v>
      </c>
      <c r="I2" t="s">
        <v>15</v>
      </c>
      <c r="J2" t="s">
        <v>16</v>
      </c>
      <c r="K2">
        <v>-2</v>
      </c>
      <c r="L2" s="2">
        <f>IF(LEN(Table1[[#This Row],[phone]]) = 10, Table1[[#This Row],[phone]],"Not Available")</f>
        <v>7460480880</v>
      </c>
    </row>
    <row r="3" spans="1:12" x14ac:dyDescent="0.25">
      <c r="A3" t="s">
        <v>17</v>
      </c>
      <c r="B3" t="s">
        <v>18</v>
      </c>
      <c r="C3">
        <v>71</v>
      </c>
      <c r="D3">
        <v>143886</v>
      </c>
      <c r="E3" s="1">
        <v>45419</v>
      </c>
      <c r="F3" t="s">
        <v>19</v>
      </c>
      <c r="G3">
        <v>935525834</v>
      </c>
      <c r="H3" t="s">
        <v>20</v>
      </c>
      <c r="I3" t="s">
        <v>15</v>
      </c>
      <c r="J3" t="s">
        <v>21</v>
      </c>
      <c r="K3">
        <v>-2</v>
      </c>
      <c r="L3" s="2" t="str">
        <f>IF(LEN(Table1[[#This Row],[phone]]) = 10, Table1[[#This Row],[phone]],"Not Available")</f>
        <v>Not Available</v>
      </c>
    </row>
    <row r="4" spans="1:12" x14ac:dyDescent="0.25">
      <c r="A4" t="s">
        <v>22</v>
      </c>
      <c r="B4" t="s">
        <v>23</v>
      </c>
      <c r="C4">
        <v>54</v>
      </c>
      <c r="D4">
        <v>143886</v>
      </c>
      <c r="E4" s="1">
        <v>45865</v>
      </c>
      <c r="F4" t="s">
        <v>24</v>
      </c>
      <c r="G4">
        <v>6253828079</v>
      </c>
      <c r="H4" t="s">
        <v>20</v>
      </c>
      <c r="I4" t="s">
        <v>25</v>
      </c>
      <c r="J4" t="s">
        <v>16</v>
      </c>
      <c r="K4">
        <v>7</v>
      </c>
      <c r="L4" s="2">
        <f>IF(LEN(Table1[[#This Row],[phone]]) = 10, Table1[[#This Row],[phone]],"Not Available")</f>
        <v>6253828079</v>
      </c>
    </row>
    <row r="5" spans="1:12" x14ac:dyDescent="0.25">
      <c r="A5" t="s">
        <v>26</v>
      </c>
      <c r="B5" t="s">
        <v>27</v>
      </c>
      <c r="C5">
        <v>48</v>
      </c>
      <c r="D5">
        <v>5000</v>
      </c>
      <c r="E5" s="1">
        <v>44903</v>
      </c>
      <c r="F5" t="s">
        <v>28</v>
      </c>
      <c r="G5">
        <v>7057074413</v>
      </c>
      <c r="H5" t="s">
        <v>20</v>
      </c>
      <c r="I5" t="s">
        <v>29</v>
      </c>
      <c r="J5" t="s">
        <v>16</v>
      </c>
      <c r="K5">
        <v>7</v>
      </c>
      <c r="L5" s="2">
        <f>IF(LEN(Table1[[#This Row],[phone]]) = 10, Table1[[#This Row],[phone]],"Not Available")</f>
        <v>7057074413</v>
      </c>
    </row>
    <row r="6" spans="1:12" x14ac:dyDescent="0.25">
      <c r="A6" t="s">
        <v>30</v>
      </c>
      <c r="B6" t="s">
        <v>31</v>
      </c>
      <c r="C6">
        <v>25</v>
      </c>
      <c r="D6">
        <v>411454</v>
      </c>
      <c r="E6" s="1">
        <v>45124</v>
      </c>
      <c r="F6" t="s">
        <v>32</v>
      </c>
      <c r="G6">
        <v>5981537999</v>
      </c>
      <c r="H6" t="s">
        <v>33</v>
      </c>
      <c r="I6" t="s">
        <v>15</v>
      </c>
      <c r="J6" t="s">
        <v>16</v>
      </c>
      <c r="K6">
        <v>2.7</v>
      </c>
      <c r="L6" s="2">
        <f>IF(LEN(Table1[[#This Row],[phone]]) = 10, Table1[[#This Row],[phone]],"Not Available")</f>
        <v>5981537999</v>
      </c>
    </row>
    <row r="7" spans="1:12" x14ac:dyDescent="0.25">
      <c r="A7" t="s">
        <v>34</v>
      </c>
      <c r="B7" t="s">
        <v>35</v>
      </c>
      <c r="C7">
        <v>25</v>
      </c>
      <c r="D7">
        <v>52683</v>
      </c>
      <c r="E7" s="1">
        <v>46049</v>
      </c>
      <c r="F7" t="s">
        <v>36</v>
      </c>
      <c r="G7">
        <v>5025010832</v>
      </c>
      <c r="H7" t="s">
        <v>20</v>
      </c>
      <c r="I7" t="s">
        <v>37</v>
      </c>
      <c r="J7" t="s">
        <v>16</v>
      </c>
      <c r="K7">
        <v>-2</v>
      </c>
      <c r="L7" s="2">
        <f>IF(LEN(Table1[[#This Row],[phone]]) = 10, Table1[[#This Row],[phone]],"Not Available")</f>
        <v>5025010832</v>
      </c>
    </row>
    <row r="8" spans="1:12" x14ac:dyDescent="0.25">
      <c r="A8" t="s">
        <v>38</v>
      </c>
      <c r="B8" t="s">
        <v>39</v>
      </c>
      <c r="C8">
        <v>29</v>
      </c>
      <c r="D8">
        <v>5000</v>
      </c>
      <c r="E8" s="1">
        <v>45589</v>
      </c>
      <c r="F8" t="s">
        <v>40</v>
      </c>
      <c r="G8">
        <v>6861269784</v>
      </c>
      <c r="H8" t="s">
        <v>20</v>
      </c>
      <c r="I8" t="s">
        <v>15</v>
      </c>
      <c r="J8" t="s">
        <v>16</v>
      </c>
      <c r="K8">
        <v>3</v>
      </c>
      <c r="L8" s="2">
        <f>IF(LEN(Table1[[#This Row],[phone]]) = 10, Table1[[#This Row],[phone]],"Not Available")</f>
        <v>6861269784</v>
      </c>
    </row>
    <row r="9" spans="1:12" x14ac:dyDescent="0.25">
      <c r="A9" t="s">
        <v>41</v>
      </c>
      <c r="B9" t="s">
        <v>42</v>
      </c>
      <c r="C9">
        <v>54</v>
      </c>
      <c r="D9">
        <v>5000</v>
      </c>
      <c r="E9" s="1">
        <v>44303</v>
      </c>
      <c r="F9" t="s">
        <v>43</v>
      </c>
      <c r="G9">
        <v>9151656580</v>
      </c>
      <c r="H9" t="s">
        <v>20</v>
      </c>
      <c r="I9" t="s">
        <v>25</v>
      </c>
      <c r="J9" t="s">
        <v>16</v>
      </c>
      <c r="K9">
        <v>2.7</v>
      </c>
      <c r="L9" s="2">
        <f>IF(LEN(Table1[[#This Row],[phone]]) = 10, Table1[[#This Row],[phone]],"Not Available")</f>
        <v>9151656580</v>
      </c>
    </row>
    <row r="10" spans="1:12" x14ac:dyDescent="0.25">
      <c r="A10" t="s">
        <v>44</v>
      </c>
      <c r="B10" t="s">
        <v>45</v>
      </c>
      <c r="C10">
        <v>51</v>
      </c>
      <c r="D10">
        <v>52227</v>
      </c>
      <c r="E10" s="1">
        <v>44509</v>
      </c>
      <c r="F10" t="s">
        <v>46</v>
      </c>
      <c r="G10">
        <v>8481965550</v>
      </c>
      <c r="H10" t="s">
        <v>14</v>
      </c>
      <c r="I10" t="s">
        <v>37</v>
      </c>
      <c r="J10" t="s">
        <v>16</v>
      </c>
      <c r="K10">
        <v>4.4000000000000004</v>
      </c>
      <c r="L10" s="2">
        <f>IF(LEN(Table1[[#This Row],[phone]]) = 10, Table1[[#This Row],[phone]],"Not Available")</f>
        <v>8481965550</v>
      </c>
    </row>
    <row r="11" spans="1:12" x14ac:dyDescent="0.25">
      <c r="A11" t="s">
        <v>47</v>
      </c>
      <c r="B11" t="s">
        <v>48</v>
      </c>
      <c r="C11">
        <v>48</v>
      </c>
      <c r="D11">
        <v>315540</v>
      </c>
      <c r="E11" s="1">
        <v>44550</v>
      </c>
      <c r="F11" t="s">
        <v>49</v>
      </c>
      <c r="G11">
        <v>1431187556</v>
      </c>
      <c r="H11" t="s">
        <v>20</v>
      </c>
      <c r="I11" t="s">
        <v>15</v>
      </c>
      <c r="J11" t="s">
        <v>16</v>
      </c>
      <c r="K11">
        <v>4.9000000000000004</v>
      </c>
      <c r="L11" s="2">
        <f>IF(LEN(Table1[[#This Row],[phone]]) = 10, Table1[[#This Row],[phone]],"Not Available")</f>
        <v>1431187556</v>
      </c>
    </row>
    <row r="12" spans="1:12" x14ac:dyDescent="0.25">
      <c r="A12" t="s">
        <v>50</v>
      </c>
      <c r="B12" t="s">
        <v>51</v>
      </c>
      <c r="C12">
        <v>48</v>
      </c>
      <c r="D12">
        <v>43853</v>
      </c>
      <c r="E12" s="1">
        <v>43496</v>
      </c>
      <c r="F12" t="s">
        <v>52</v>
      </c>
      <c r="G12">
        <v>2130898001</v>
      </c>
      <c r="H12" t="s">
        <v>20</v>
      </c>
      <c r="I12" t="s">
        <v>37</v>
      </c>
      <c r="J12" t="s">
        <v>21</v>
      </c>
      <c r="K12">
        <v>-2</v>
      </c>
      <c r="L12" s="2">
        <f>IF(LEN(Table1[[#This Row],[phone]]) = 10, Table1[[#This Row],[phone]],"Not Available")</f>
        <v>2130898001</v>
      </c>
    </row>
    <row r="13" spans="1:12" x14ac:dyDescent="0.25">
      <c r="A13" t="s">
        <v>53</v>
      </c>
      <c r="B13" t="s">
        <v>54</v>
      </c>
      <c r="C13">
        <v>48</v>
      </c>
      <c r="D13">
        <v>5000</v>
      </c>
      <c r="E13" s="1">
        <v>44938</v>
      </c>
      <c r="F13" t="s">
        <v>55</v>
      </c>
      <c r="G13">
        <v>12456</v>
      </c>
      <c r="H13" t="s">
        <v>20</v>
      </c>
      <c r="I13" t="s">
        <v>15</v>
      </c>
      <c r="J13" t="s">
        <v>16</v>
      </c>
      <c r="K13">
        <v>-2</v>
      </c>
      <c r="L13" s="2" t="str">
        <f>IF(LEN(Table1[[#This Row],[phone]]) = 10, Table1[[#This Row],[phone]],"Not Available")</f>
        <v>Not Available</v>
      </c>
    </row>
    <row r="14" spans="1:12" x14ac:dyDescent="0.25">
      <c r="A14" t="s">
        <v>56</v>
      </c>
      <c r="B14" t="s">
        <v>57</v>
      </c>
      <c r="C14">
        <v>25</v>
      </c>
      <c r="D14">
        <v>451636</v>
      </c>
      <c r="E14" s="1">
        <v>44007</v>
      </c>
      <c r="F14" t="s">
        <v>58</v>
      </c>
      <c r="G14">
        <v>9223089225</v>
      </c>
      <c r="H14" t="s">
        <v>20</v>
      </c>
      <c r="I14" t="s">
        <v>15</v>
      </c>
      <c r="J14" t="s">
        <v>16</v>
      </c>
      <c r="K14">
        <v>7</v>
      </c>
      <c r="L14" s="2">
        <f>IF(LEN(Table1[[#This Row],[phone]]) = 10, Table1[[#This Row],[phone]],"Not Available")</f>
        <v>9223089225</v>
      </c>
    </row>
    <row r="15" spans="1:12" x14ac:dyDescent="0.25">
      <c r="A15" t="s">
        <v>59</v>
      </c>
      <c r="B15" t="s">
        <v>60</v>
      </c>
      <c r="C15">
        <v>82</v>
      </c>
      <c r="D15">
        <v>79439</v>
      </c>
      <c r="E15" s="1">
        <v>43715</v>
      </c>
      <c r="F15" t="s">
        <v>61</v>
      </c>
      <c r="G15">
        <v>24608</v>
      </c>
      <c r="H15" t="s">
        <v>14</v>
      </c>
      <c r="I15" t="s">
        <v>15</v>
      </c>
      <c r="J15" t="s">
        <v>16</v>
      </c>
      <c r="K15">
        <v>7</v>
      </c>
      <c r="L15" s="2" t="str">
        <f>IF(LEN(Table1[[#This Row],[phone]]) = 10, Table1[[#This Row],[phone]],"Not Available")</f>
        <v>Not Available</v>
      </c>
    </row>
    <row r="16" spans="1:12" x14ac:dyDescent="0.25">
      <c r="A16" t="s">
        <v>62</v>
      </c>
      <c r="B16" t="s">
        <v>63</v>
      </c>
      <c r="C16">
        <v>83</v>
      </c>
      <c r="D16">
        <v>5000</v>
      </c>
      <c r="E16" s="1">
        <v>43539</v>
      </c>
      <c r="F16" t="s">
        <v>64</v>
      </c>
      <c r="G16">
        <v>3188567521</v>
      </c>
      <c r="H16" t="s">
        <v>65</v>
      </c>
      <c r="I16" t="s">
        <v>66</v>
      </c>
      <c r="J16" t="s">
        <v>16</v>
      </c>
      <c r="K16">
        <v>2.7</v>
      </c>
      <c r="L16" s="2">
        <f>IF(LEN(Table1[[#This Row],[phone]]) = 10, Table1[[#This Row],[phone]],"Not Available")</f>
        <v>3188567521</v>
      </c>
    </row>
    <row r="17" spans="1:12" x14ac:dyDescent="0.25">
      <c r="A17" t="s">
        <v>67</v>
      </c>
      <c r="B17" t="s">
        <v>68</v>
      </c>
      <c r="C17">
        <v>48</v>
      </c>
      <c r="D17">
        <v>52645</v>
      </c>
      <c r="E17" s="1">
        <v>45390</v>
      </c>
      <c r="F17" t="s">
        <v>69</v>
      </c>
      <c r="G17">
        <v>5049870603</v>
      </c>
      <c r="H17" t="s">
        <v>70</v>
      </c>
      <c r="I17" t="s">
        <v>25</v>
      </c>
      <c r="J17" t="s">
        <v>16</v>
      </c>
      <c r="K17">
        <v>-2</v>
      </c>
      <c r="L17" s="2">
        <f>IF(LEN(Table1[[#This Row],[phone]]) = 10, Table1[[#This Row],[phone]],"Not Available")</f>
        <v>5049870603</v>
      </c>
    </row>
    <row r="18" spans="1:12" x14ac:dyDescent="0.25">
      <c r="A18" t="s">
        <v>71</v>
      </c>
      <c r="B18" t="s">
        <v>72</v>
      </c>
      <c r="C18">
        <v>25</v>
      </c>
      <c r="D18">
        <v>143886</v>
      </c>
      <c r="E18" s="1">
        <v>43564</v>
      </c>
      <c r="F18" t="s">
        <v>69</v>
      </c>
      <c r="G18">
        <v>9285350741</v>
      </c>
      <c r="H18" t="s">
        <v>14</v>
      </c>
      <c r="I18" t="s">
        <v>15</v>
      </c>
      <c r="J18" t="s">
        <v>16</v>
      </c>
      <c r="K18">
        <v>-2</v>
      </c>
      <c r="L18" s="2">
        <f>IF(LEN(Table1[[#This Row],[phone]]) = 10, Table1[[#This Row],[phone]],"Not Available")</f>
        <v>9285350741</v>
      </c>
    </row>
    <row r="19" spans="1:12" x14ac:dyDescent="0.25">
      <c r="A19" t="s">
        <v>73</v>
      </c>
      <c r="B19" t="s">
        <v>74</v>
      </c>
      <c r="C19">
        <v>48</v>
      </c>
      <c r="D19">
        <v>143886</v>
      </c>
      <c r="E19" s="1">
        <v>45030</v>
      </c>
      <c r="F19" t="s">
        <v>75</v>
      </c>
      <c r="G19">
        <v>2568346564</v>
      </c>
      <c r="H19" t="s">
        <v>65</v>
      </c>
      <c r="I19" t="s">
        <v>15</v>
      </c>
      <c r="J19" t="s">
        <v>16</v>
      </c>
      <c r="K19">
        <v>1.4</v>
      </c>
      <c r="L19" s="2">
        <f>IF(LEN(Table1[[#This Row],[phone]]) = 10, Table1[[#This Row],[phone]],"Not Available")</f>
        <v>2568346564</v>
      </c>
    </row>
    <row r="20" spans="1:12" x14ac:dyDescent="0.25">
      <c r="A20" t="s">
        <v>76</v>
      </c>
      <c r="B20" t="s">
        <v>77</v>
      </c>
      <c r="C20">
        <v>32</v>
      </c>
      <c r="D20">
        <v>143886</v>
      </c>
      <c r="E20" s="1">
        <v>45663</v>
      </c>
      <c r="F20" t="s">
        <v>78</v>
      </c>
      <c r="G20">
        <v>2898555776</v>
      </c>
      <c r="H20" t="s">
        <v>20</v>
      </c>
      <c r="I20" t="s">
        <v>37</v>
      </c>
      <c r="J20" t="s">
        <v>16</v>
      </c>
      <c r="K20">
        <v>7</v>
      </c>
      <c r="L20" s="2">
        <f>IF(LEN(Table1[[#This Row],[phone]]) = 10, Table1[[#This Row],[phone]],"Not Available")</f>
        <v>2898555776</v>
      </c>
    </row>
    <row r="21" spans="1:12" x14ac:dyDescent="0.25">
      <c r="A21" t="s">
        <v>79</v>
      </c>
      <c r="B21" t="s">
        <v>80</v>
      </c>
      <c r="C21">
        <v>84</v>
      </c>
      <c r="D21">
        <v>76731</v>
      </c>
      <c r="E21" s="1">
        <v>43120</v>
      </c>
      <c r="F21" t="s">
        <v>81</v>
      </c>
      <c r="G21">
        <v>53719</v>
      </c>
      <c r="H21" t="s">
        <v>14</v>
      </c>
      <c r="I21" t="s">
        <v>66</v>
      </c>
      <c r="J21" t="s">
        <v>21</v>
      </c>
      <c r="K21">
        <v>7</v>
      </c>
      <c r="L21" s="2" t="str">
        <f>IF(LEN(Table1[[#This Row],[phone]]) = 10, Table1[[#This Row],[phone]],"Not Available")</f>
        <v>Not Available</v>
      </c>
    </row>
    <row r="22" spans="1:12" x14ac:dyDescent="0.25">
      <c r="A22" t="s">
        <v>82</v>
      </c>
      <c r="B22" t="s">
        <v>83</v>
      </c>
      <c r="C22">
        <v>48</v>
      </c>
      <c r="D22">
        <v>5000</v>
      </c>
      <c r="E22" s="1">
        <v>42563</v>
      </c>
      <c r="F22" t="s">
        <v>84</v>
      </c>
      <c r="G22">
        <v>2003781030</v>
      </c>
      <c r="H22" t="s">
        <v>70</v>
      </c>
      <c r="I22" t="s">
        <v>29</v>
      </c>
      <c r="J22" t="s">
        <v>16</v>
      </c>
      <c r="K22">
        <v>7</v>
      </c>
      <c r="L22" s="2">
        <f>IF(LEN(Table1[[#This Row],[phone]]) = 10, Table1[[#This Row],[phone]],"Not Available")</f>
        <v>2003781030</v>
      </c>
    </row>
    <row r="23" spans="1:12" x14ac:dyDescent="0.25">
      <c r="A23" t="s">
        <v>85</v>
      </c>
      <c r="B23" t="s">
        <v>86</v>
      </c>
      <c r="C23">
        <v>48</v>
      </c>
      <c r="D23">
        <v>143886</v>
      </c>
      <c r="E23" s="1">
        <v>44259</v>
      </c>
      <c r="F23" t="s">
        <v>87</v>
      </c>
      <c r="G23">
        <v>61755</v>
      </c>
      <c r="H23" t="s">
        <v>14</v>
      </c>
      <c r="I23" t="s">
        <v>15</v>
      </c>
      <c r="J23" t="s">
        <v>16</v>
      </c>
      <c r="K23">
        <v>2.7</v>
      </c>
      <c r="L23" s="2" t="str">
        <f>IF(LEN(Table1[[#This Row],[phone]]) = 10, Table1[[#This Row],[phone]],"Not Available")</f>
        <v>Not Available</v>
      </c>
    </row>
    <row r="24" spans="1:12" x14ac:dyDescent="0.25">
      <c r="A24" t="s">
        <v>88</v>
      </c>
      <c r="B24" t="s">
        <v>89</v>
      </c>
      <c r="C24">
        <v>25</v>
      </c>
      <c r="D24">
        <v>393723</v>
      </c>
      <c r="E24" s="1">
        <v>44904</v>
      </c>
      <c r="F24" t="s">
        <v>90</v>
      </c>
      <c r="G24">
        <v>3719783552</v>
      </c>
      <c r="H24" t="s">
        <v>33</v>
      </c>
      <c r="I24" t="s">
        <v>15</v>
      </c>
      <c r="J24" t="s">
        <v>21</v>
      </c>
      <c r="K24">
        <v>-2</v>
      </c>
      <c r="L24" s="2">
        <f>IF(LEN(Table1[[#This Row],[phone]]) = 10, Table1[[#This Row],[phone]],"Not Available")</f>
        <v>3719783552</v>
      </c>
    </row>
    <row r="25" spans="1:12" x14ac:dyDescent="0.25">
      <c r="A25" t="s">
        <v>91</v>
      </c>
      <c r="B25" t="s">
        <v>92</v>
      </c>
      <c r="C25">
        <v>25</v>
      </c>
      <c r="D25">
        <v>482513</v>
      </c>
      <c r="E25" s="1">
        <v>45854</v>
      </c>
      <c r="F25" t="s">
        <v>93</v>
      </c>
      <c r="G25">
        <v>341116676</v>
      </c>
      <c r="H25" t="s">
        <v>65</v>
      </c>
      <c r="I25" t="s">
        <v>15</v>
      </c>
      <c r="J25" t="s">
        <v>21</v>
      </c>
      <c r="K25">
        <v>2.7</v>
      </c>
      <c r="L25" s="2" t="str">
        <f>IF(LEN(Table1[[#This Row],[phone]]) = 10, Table1[[#This Row],[phone]],"Not Available")</f>
        <v>Not Available</v>
      </c>
    </row>
    <row r="26" spans="1:12" x14ac:dyDescent="0.25">
      <c r="A26" t="s">
        <v>94</v>
      </c>
      <c r="B26" t="s">
        <v>95</v>
      </c>
      <c r="C26">
        <v>63</v>
      </c>
      <c r="D26">
        <v>5000</v>
      </c>
      <c r="E26" s="1">
        <v>43081</v>
      </c>
      <c r="F26" t="s">
        <v>96</v>
      </c>
      <c r="G26">
        <v>2156998068</v>
      </c>
      <c r="H26" t="s">
        <v>20</v>
      </c>
      <c r="I26" t="s">
        <v>29</v>
      </c>
      <c r="J26" t="s">
        <v>16</v>
      </c>
      <c r="K26">
        <v>-2</v>
      </c>
      <c r="L26" s="2">
        <f>IF(LEN(Table1[[#This Row],[phone]]) = 10, Table1[[#This Row],[phone]],"Not Available")</f>
        <v>2156998068</v>
      </c>
    </row>
    <row r="27" spans="1:12" x14ac:dyDescent="0.25">
      <c r="A27" t="s">
        <v>97</v>
      </c>
      <c r="B27" t="s">
        <v>98</v>
      </c>
      <c r="C27">
        <v>25</v>
      </c>
      <c r="D27">
        <v>143886</v>
      </c>
      <c r="E27" s="1">
        <v>44553</v>
      </c>
      <c r="F27" t="s">
        <v>99</v>
      </c>
      <c r="G27">
        <v>2252799243</v>
      </c>
      <c r="H27" t="s">
        <v>14</v>
      </c>
      <c r="I27" t="s">
        <v>29</v>
      </c>
      <c r="J27" t="s">
        <v>21</v>
      </c>
      <c r="K27">
        <v>-2</v>
      </c>
      <c r="L27" s="2">
        <f>IF(LEN(Table1[[#This Row],[phone]]) = 10, Table1[[#This Row],[phone]],"Not Available")</f>
        <v>2252799243</v>
      </c>
    </row>
    <row r="28" spans="1:12" x14ac:dyDescent="0.25">
      <c r="A28" t="s">
        <v>100</v>
      </c>
      <c r="B28" t="s">
        <v>101</v>
      </c>
      <c r="C28">
        <v>48</v>
      </c>
      <c r="D28">
        <v>336943</v>
      </c>
      <c r="E28" s="1">
        <v>44804</v>
      </c>
      <c r="F28" t="s">
        <v>102</v>
      </c>
      <c r="G28">
        <v>9483391592</v>
      </c>
      <c r="H28" t="s">
        <v>65</v>
      </c>
      <c r="I28" t="s">
        <v>37</v>
      </c>
      <c r="J28" t="s">
        <v>16</v>
      </c>
      <c r="K28">
        <v>2.7</v>
      </c>
      <c r="L28" s="2">
        <f>IF(LEN(Table1[[#This Row],[phone]]) = 10, Table1[[#This Row],[phone]],"Not Available")</f>
        <v>9483391592</v>
      </c>
    </row>
    <row r="29" spans="1:12" x14ac:dyDescent="0.25">
      <c r="A29" t="s">
        <v>103</v>
      </c>
      <c r="B29" t="s">
        <v>104</v>
      </c>
      <c r="C29">
        <v>44</v>
      </c>
      <c r="D29">
        <v>81139</v>
      </c>
      <c r="E29" s="1">
        <v>45945</v>
      </c>
      <c r="F29" t="s">
        <v>105</v>
      </c>
      <c r="G29">
        <v>2211064892</v>
      </c>
      <c r="H29" t="s">
        <v>20</v>
      </c>
      <c r="I29" t="s">
        <v>25</v>
      </c>
      <c r="J29" t="s">
        <v>21</v>
      </c>
      <c r="K29">
        <v>2.7</v>
      </c>
      <c r="L29" s="2">
        <f>IF(LEN(Table1[[#This Row],[phone]]) = 10, Table1[[#This Row],[phone]],"Not Available")</f>
        <v>2211064892</v>
      </c>
    </row>
    <row r="30" spans="1:12" x14ac:dyDescent="0.25">
      <c r="A30" t="s">
        <v>106</v>
      </c>
      <c r="B30" t="s">
        <v>107</v>
      </c>
      <c r="C30">
        <v>85</v>
      </c>
      <c r="D30">
        <v>41812</v>
      </c>
      <c r="E30" s="1">
        <v>44163</v>
      </c>
      <c r="F30" t="s">
        <v>108</v>
      </c>
      <c r="G30">
        <v>4244338979</v>
      </c>
      <c r="H30" t="s">
        <v>20</v>
      </c>
      <c r="I30" t="s">
        <v>29</v>
      </c>
      <c r="J30" t="s">
        <v>16</v>
      </c>
      <c r="K30">
        <v>2.7</v>
      </c>
      <c r="L30" s="2">
        <f>IF(LEN(Table1[[#This Row],[phone]]) = 10, Table1[[#This Row],[phone]],"Not Available")</f>
        <v>4244338979</v>
      </c>
    </row>
    <row r="31" spans="1:12" x14ac:dyDescent="0.25">
      <c r="A31" t="s">
        <v>109</v>
      </c>
      <c r="B31" t="s">
        <v>110</v>
      </c>
      <c r="C31">
        <v>54</v>
      </c>
      <c r="D31">
        <v>143886</v>
      </c>
      <c r="E31" s="1">
        <v>44507</v>
      </c>
      <c r="F31" t="s">
        <v>69</v>
      </c>
      <c r="G31">
        <v>8402500478</v>
      </c>
      <c r="H31" t="s">
        <v>65</v>
      </c>
      <c r="I31" t="s">
        <v>37</v>
      </c>
      <c r="J31" t="s">
        <v>21</v>
      </c>
      <c r="K31">
        <v>-2</v>
      </c>
      <c r="L31" s="2">
        <f>IF(LEN(Table1[[#This Row],[phone]]) = 10, Table1[[#This Row],[phone]],"Not Available")</f>
        <v>8402500478</v>
      </c>
    </row>
    <row r="32" spans="1:12" x14ac:dyDescent="0.25">
      <c r="A32" t="s">
        <v>111</v>
      </c>
      <c r="B32" t="s">
        <v>112</v>
      </c>
      <c r="C32">
        <v>25</v>
      </c>
      <c r="D32">
        <v>5000</v>
      </c>
      <c r="E32" s="1">
        <v>45266</v>
      </c>
      <c r="F32" t="s">
        <v>113</v>
      </c>
      <c r="G32">
        <v>1156491119</v>
      </c>
      <c r="H32" t="s">
        <v>14</v>
      </c>
      <c r="I32" t="s">
        <v>15</v>
      </c>
      <c r="J32" t="s">
        <v>21</v>
      </c>
      <c r="K32">
        <v>-2</v>
      </c>
      <c r="L32" s="2">
        <f>IF(LEN(Table1[[#This Row],[phone]]) = 10, Table1[[#This Row],[phone]],"Not Available")</f>
        <v>1156491119</v>
      </c>
    </row>
    <row r="33" spans="1:12" x14ac:dyDescent="0.25">
      <c r="A33" t="s">
        <v>114</v>
      </c>
      <c r="B33" t="s">
        <v>115</v>
      </c>
      <c r="C33">
        <v>71</v>
      </c>
      <c r="D33">
        <v>143886</v>
      </c>
      <c r="E33" s="1">
        <v>45536</v>
      </c>
      <c r="F33" t="s">
        <v>116</v>
      </c>
      <c r="G33">
        <v>3887536079</v>
      </c>
      <c r="H33" t="s">
        <v>14</v>
      </c>
      <c r="I33" t="s">
        <v>15</v>
      </c>
      <c r="J33" t="s">
        <v>21</v>
      </c>
      <c r="K33">
        <v>-2</v>
      </c>
      <c r="L33" s="2">
        <f>IF(LEN(Table1[[#This Row],[phone]]) = 10, Table1[[#This Row],[phone]],"Not Available")</f>
        <v>3887536079</v>
      </c>
    </row>
    <row r="34" spans="1:12" x14ac:dyDescent="0.25">
      <c r="A34" t="s">
        <v>117</v>
      </c>
      <c r="B34" t="s">
        <v>118</v>
      </c>
      <c r="C34">
        <v>25</v>
      </c>
      <c r="D34">
        <v>143886</v>
      </c>
      <c r="E34" s="1">
        <v>43943</v>
      </c>
      <c r="F34" t="s">
        <v>119</v>
      </c>
      <c r="G34">
        <v>8479648683</v>
      </c>
      <c r="H34" t="s">
        <v>70</v>
      </c>
      <c r="I34" t="s">
        <v>25</v>
      </c>
      <c r="J34" t="s">
        <v>16</v>
      </c>
      <c r="K34">
        <v>7</v>
      </c>
      <c r="L34" s="2">
        <f>IF(LEN(Table1[[#This Row],[phone]]) = 10, Table1[[#This Row],[phone]],"Not Available")</f>
        <v>8479648683</v>
      </c>
    </row>
    <row r="35" spans="1:12" x14ac:dyDescent="0.25">
      <c r="A35" t="s">
        <v>120</v>
      </c>
      <c r="B35" t="s">
        <v>121</v>
      </c>
      <c r="C35">
        <v>25</v>
      </c>
      <c r="D35">
        <v>143886</v>
      </c>
      <c r="E35" s="1">
        <v>45819</v>
      </c>
      <c r="F35" t="s">
        <v>122</v>
      </c>
      <c r="G35">
        <v>9180728258</v>
      </c>
      <c r="H35" t="s">
        <v>65</v>
      </c>
      <c r="I35" t="s">
        <v>66</v>
      </c>
      <c r="J35" t="s">
        <v>16</v>
      </c>
      <c r="K35">
        <v>7</v>
      </c>
      <c r="L35" s="2">
        <f>IF(LEN(Table1[[#This Row],[phone]]) = 10, Table1[[#This Row],[phone]],"Not Available")</f>
        <v>9180728258</v>
      </c>
    </row>
    <row r="36" spans="1:12" x14ac:dyDescent="0.25">
      <c r="A36" t="s">
        <v>123</v>
      </c>
      <c r="B36" t="s">
        <v>124</v>
      </c>
      <c r="C36">
        <v>48</v>
      </c>
      <c r="D36">
        <v>77260</v>
      </c>
      <c r="E36" s="1">
        <v>44783</v>
      </c>
      <c r="F36" t="s">
        <v>125</v>
      </c>
      <c r="G36">
        <v>3676363782</v>
      </c>
      <c r="H36" t="s">
        <v>20</v>
      </c>
      <c r="I36" t="s">
        <v>25</v>
      </c>
      <c r="J36" t="s">
        <v>21</v>
      </c>
      <c r="K36">
        <v>7</v>
      </c>
      <c r="L36" s="2">
        <f>IF(LEN(Table1[[#This Row],[phone]]) = 10, Table1[[#This Row],[phone]],"Not Available")</f>
        <v>3676363782</v>
      </c>
    </row>
    <row r="37" spans="1:12" x14ac:dyDescent="0.25">
      <c r="A37" t="s">
        <v>126</v>
      </c>
      <c r="B37" t="s">
        <v>127</v>
      </c>
      <c r="C37">
        <v>25</v>
      </c>
      <c r="D37">
        <v>143886</v>
      </c>
      <c r="E37" s="1">
        <v>45284</v>
      </c>
      <c r="F37" t="s">
        <v>128</v>
      </c>
      <c r="G37">
        <v>3505739104</v>
      </c>
      <c r="H37" t="s">
        <v>33</v>
      </c>
      <c r="I37" t="s">
        <v>15</v>
      </c>
      <c r="J37" t="s">
        <v>21</v>
      </c>
      <c r="K37">
        <v>7</v>
      </c>
      <c r="L37" s="2">
        <f>IF(LEN(Table1[[#This Row],[phone]]) = 10, Table1[[#This Row],[phone]],"Not Available")</f>
        <v>3505739104</v>
      </c>
    </row>
    <row r="38" spans="1:12" x14ac:dyDescent="0.25">
      <c r="A38" t="s">
        <v>129</v>
      </c>
      <c r="B38" t="s">
        <v>130</v>
      </c>
      <c r="C38">
        <v>25</v>
      </c>
      <c r="D38">
        <v>143886</v>
      </c>
      <c r="E38" s="1">
        <v>46145</v>
      </c>
      <c r="F38" t="s">
        <v>131</v>
      </c>
      <c r="G38">
        <v>4497526118</v>
      </c>
      <c r="H38" t="s">
        <v>14</v>
      </c>
      <c r="I38" t="s">
        <v>29</v>
      </c>
      <c r="J38" t="s">
        <v>16</v>
      </c>
      <c r="K38">
        <v>2.7</v>
      </c>
      <c r="L38" s="2">
        <f>IF(LEN(Table1[[#This Row],[phone]]) = 10, Table1[[#This Row],[phone]],"Not Available")</f>
        <v>4497526118</v>
      </c>
    </row>
    <row r="39" spans="1:12" x14ac:dyDescent="0.25">
      <c r="A39" t="s">
        <v>132</v>
      </c>
      <c r="B39" t="s">
        <v>133</v>
      </c>
      <c r="C39">
        <v>25</v>
      </c>
      <c r="D39">
        <v>303703</v>
      </c>
      <c r="E39" s="1">
        <v>43883</v>
      </c>
      <c r="F39" t="s">
        <v>134</v>
      </c>
      <c r="G39">
        <v>7541627329</v>
      </c>
      <c r="H39" t="s">
        <v>33</v>
      </c>
      <c r="I39" t="s">
        <v>15</v>
      </c>
      <c r="J39" t="s">
        <v>16</v>
      </c>
      <c r="K39">
        <v>7</v>
      </c>
      <c r="L39" s="2">
        <f>IF(LEN(Table1[[#This Row],[phone]]) = 10, Table1[[#This Row],[phone]],"Not Available")</f>
        <v>7541627329</v>
      </c>
    </row>
    <row r="40" spans="1:12" x14ac:dyDescent="0.25">
      <c r="A40" t="s">
        <v>135</v>
      </c>
      <c r="B40" t="s">
        <v>136</v>
      </c>
      <c r="C40">
        <v>54</v>
      </c>
      <c r="D40">
        <v>143886</v>
      </c>
      <c r="E40" s="1">
        <v>43802</v>
      </c>
      <c r="F40" t="s">
        <v>137</v>
      </c>
      <c r="G40">
        <v>4704336223</v>
      </c>
      <c r="H40" t="s">
        <v>70</v>
      </c>
      <c r="I40" t="s">
        <v>25</v>
      </c>
      <c r="J40" t="s">
        <v>16</v>
      </c>
      <c r="K40">
        <v>-2</v>
      </c>
      <c r="L40" s="2">
        <f>IF(LEN(Table1[[#This Row],[phone]]) = 10, Table1[[#This Row],[phone]],"Not Available")</f>
        <v>4704336223</v>
      </c>
    </row>
    <row r="41" spans="1:12" x14ac:dyDescent="0.25">
      <c r="A41" t="s">
        <v>138</v>
      </c>
      <c r="B41" t="s">
        <v>139</v>
      </c>
      <c r="C41">
        <v>48</v>
      </c>
      <c r="D41">
        <v>250876</v>
      </c>
      <c r="E41" s="1">
        <v>42703</v>
      </c>
      <c r="F41" t="s">
        <v>140</v>
      </c>
      <c r="G41">
        <v>2175854966</v>
      </c>
      <c r="H41" t="s">
        <v>20</v>
      </c>
      <c r="I41" t="s">
        <v>15</v>
      </c>
      <c r="J41" t="s">
        <v>16</v>
      </c>
      <c r="K41">
        <v>4.3</v>
      </c>
      <c r="L41" s="2">
        <f>IF(LEN(Table1[[#This Row],[phone]]) = 10, Table1[[#This Row],[phone]],"Not Available")</f>
        <v>2175854966</v>
      </c>
    </row>
    <row r="42" spans="1:12" x14ac:dyDescent="0.25">
      <c r="A42" t="s">
        <v>141</v>
      </c>
      <c r="B42" t="s">
        <v>142</v>
      </c>
      <c r="C42">
        <v>48</v>
      </c>
      <c r="D42">
        <v>143886</v>
      </c>
      <c r="E42" s="1">
        <v>42989</v>
      </c>
      <c r="F42" t="s">
        <v>143</v>
      </c>
      <c r="G42">
        <v>1273193659</v>
      </c>
      <c r="H42" t="s">
        <v>20</v>
      </c>
      <c r="I42" t="s">
        <v>15</v>
      </c>
      <c r="J42" t="s">
        <v>16</v>
      </c>
      <c r="K42">
        <v>2.7</v>
      </c>
      <c r="L42" s="2">
        <f>IF(LEN(Table1[[#This Row],[phone]]) = 10, Table1[[#This Row],[phone]],"Not Available")</f>
        <v>1273193659</v>
      </c>
    </row>
    <row r="43" spans="1:12" x14ac:dyDescent="0.25">
      <c r="A43" t="s">
        <v>144</v>
      </c>
      <c r="B43" t="s">
        <v>145</v>
      </c>
      <c r="C43">
        <v>25</v>
      </c>
      <c r="D43">
        <v>143886</v>
      </c>
      <c r="E43" s="1">
        <v>45340</v>
      </c>
      <c r="F43" t="s">
        <v>146</v>
      </c>
      <c r="G43">
        <v>505858693</v>
      </c>
      <c r="H43" t="s">
        <v>65</v>
      </c>
      <c r="I43" t="s">
        <v>29</v>
      </c>
      <c r="J43" t="s">
        <v>21</v>
      </c>
      <c r="K43">
        <v>2.7</v>
      </c>
      <c r="L43" s="2" t="str">
        <f>IF(LEN(Table1[[#This Row],[phone]]) = 10, Table1[[#This Row],[phone]],"Not Available")</f>
        <v>Not Available</v>
      </c>
    </row>
    <row r="44" spans="1:12" x14ac:dyDescent="0.25">
      <c r="A44" t="s">
        <v>147</v>
      </c>
      <c r="B44" t="s">
        <v>148</v>
      </c>
      <c r="C44">
        <v>35</v>
      </c>
      <c r="D44">
        <v>5000</v>
      </c>
      <c r="E44" s="1">
        <v>43037</v>
      </c>
      <c r="F44" t="s">
        <v>149</v>
      </c>
      <c r="G44">
        <v>8911277295</v>
      </c>
      <c r="H44" t="s">
        <v>20</v>
      </c>
      <c r="I44" t="s">
        <v>15</v>
      </c>
      <c r="J44" t="s">
        <v>16</v>
      </c>
      <c r="K44">
        <v>7</v>
      </c>
      <c r="L44" s="2">
        <f>IF(LEN(Table1[[#This Row],[phone]]) = 10, Table1[[#This Row],[phone]],"Not Available")</f>
        <v>8911277295</v>
      </c>
    </row>
    <row r="45" spans="1:12" x14ac:dyDescent="0.25">
      <c r="A45" t="s">
        <v>150</v>
      </c>
      <c r="B45" t="s">
        <v>151</v>
      </c>
      <c r="C45">
        <v>62</v>
      </c>
      <c r="D45">
        <v>396829</v>
      </c>
      <c r="E45" s="1">
        <v>44189</v>
      </c>
      <c r="F45" t="s">
        <v>152</v>
      </c>
      <c r="G45">
        <v>4004872240</v>
      </c>
      <c r="H45" t="s">
        <v>20</v>
      </c>
      <c r="I45" t="s">
        <v>25</v>
      </c>
      <c r="J45" t="s">
        <v>16</v>
      </c>
      <c r="K45">
        <v>7</v>
      </c>
      <c r="L45" s="2">
        <f>IF(LEN(Table1[[#This Row],[phone]]) = 10, Table1[[#This Row],[phone]],"Not Available")</f>
        <v>4004872240</v>
      </c>
    </row>
    <row r="46" spans="1:12" x14ac:dyDescent="0.25">
      <c r="A46" t="s">
        <v>153</v>
      </c>
      <c r="B46" t="s">
        <v>154</v>
      </c>
      <c r="C46">
        <v>48</v>
      </c>
      <c r="D46">
        <v>143886</v>
      </c>
      <c r="E46" s="1">
        <v>46237</v>
      </c>
      <c r="F46" t="s">
        <v>155</v>
      </c>
      <c r="G46">
        <v>8975049596</v>
      </c>
      <c r="H46" t="s">
        <v>20</v>
      </c>
      <c r="I46" t="s">
        <v>15</v>
      </c>
      <c r="J46" t="s">
        <v>16</v>
      </c>
      <c r="K46">
        <v>-2</v>
      </c>
      <c r="L46" s="2">
        <f>IF(LEN(Table1[[#This Row],[phone]]) = 10, Table1[[#This Row],[phone]],"Not Available")</f>
        <v>8975049596</v>
      </c>
    </row>
    <row r="47" spans="1:12" x14ac:dyDescent="0.25">
      <c r="A47" t="s">
        <v>156</v>
      </c>
      <c r="B47" t="s">
        <v>157</v>
      </c>
      <c r="C47">
        <v>68</v>
      </c>
      <c r="D47">
        <v>411368</v>
      </c>
      <c r="E47" s="1">
        <v>45089</v>
      </c>
      <c r="F47" t="s">
        <v>158</v>
      </c>
      <c r="G47">
        <v>5337597169</v>
      </c>
      <c r="H47" t="s">
        <v>70</v>
      </c>
      <c r="I47" t="s">
        <v>37</v>
      </c>
      <c r="J47" t="s">
        <v>16</v>
      </c>
      <c r="K47">
        <v>2.2999999999999998</v>
      </c>
      <c r="L47" s="2">
        <f>IF(LEN(Table1[[#This Row],[phone]]) = 10, Table1[[#This Row],[phone]],"Not Available")</f>
        <v>5337597169</v>
      </c>
    </row>
    <row r="48" spans="1:12" x14ac:dyDescent="0.25">
      <c r="A48" t="s">
        <v>159</v>
      </c>
      <c r="B48" t="s">
        <v>160</v>
      </c>
      <c r="C48">
        <v>48</v>
      </c>
      <c r="D48">
        <v>5000</v>
      </c>
      <c r="E48" s="1">
        <v>44183</v>
      </c>
      <c r="F48" t="s">
        <v>161</v>
      </c>
      <c r="G48">
        <v>1620807539</v>
      </c>
      <c r="H48" t="s">
        <v>65</v>
      </c>
      <c r="I48" t="s">
        <v>66</v>
      </c>
      <c r="J48" t="s">
        <v>16</v>
      </c>
      <c r="K48">
        <v>-2</v>
      </c>
      <c r="L48" s="2">
        <f>IF(LEN(Table1[[#This Row],[phone]]) = 10, Table1[[#This Row],[phone]],"Not Available")</f>
        <v>1620807539</v>
      </c>
    </row>
    <row r="49" spans="1:12" x14ac:dyDescent="0.25">
      <c r="A49" t="s">
        <v>162</v>
      </c>
      <c r="B49" t="s">
        <v>163</v>
      </c>
      <c r="C49">
        <v>48</v>
      </c>
      <c r="D49">
        <v>143886</v>
      </c>
      <c r="E49" s="1">
        <v>42574</v>
      </c>
      <c r="F49" t="s">
        <v>164</v>
      </c>
      <c r="G49">
        <v>8413309342</v>
      </c>
      <c r="H49" t="s">
        <v>70</v>
      </c>
      <c r="I49" t="s">
        <v>15</v>
      </c>
      <c r="J49" t="s">
        <v>16</v>
      </c>
      <c r="K49">
        <v>-2</v>
      </c>
      <c r="L49" s="2">
        <f>IF(LEN(Table1[[#This Row],[phone]]) = 10, Table1[[#This Row],[phone]],"Not Available")</f>
        <v>8413309342</v>
      </c>
    </row>
    <row r="50" spans="1:12" x14ac:dyDescent="0.25">
      <c r="A50" t="s">
        <v>165</v>
      </c>
      <c r="B50" t="s">
        <v>166</v>
      </c>
      <c r="C50">
        <v>48</v>
      </c>
      <c r="D50">
        <v>143886</v>
      </c>
      <c r="E50" s="1">
        <v>45437</v>
      </c>
      <c r="F50" t="s">
        <v>167</v>
      </c>
      <c r="G50">
        <v>1947159279</v>
      </c>
      <c r="H50" t="s">
        <v>65</v>
      </c>
      <c r="I50" t="s">
        <v>15</v>
      </c>
      <c r="J50" t="s">
        <v>16</v>
      </c>
      <c r="K50">
        <v>4.5999999999999996</v>
      </c>
      <c r="L50" s="2">
        <f>IF(LEN(Table1[[#This Row],[phone]]) = 10, Table1[[#This Row],[phone]],"Not Available")</f>
        <v>1947159279</v>
      </c>
    </row>
    <row r="51" spans="1:12" x14ac:dyDescent="0.25">
      <c r="A51" t="s">
        <v>168</v>
      </c>
      <c r="B51" t="s">
        <v>169</v>
      </c>
      <c r="C51">
        <v>48</v>
      </c>
      <c r="D51">
        <v>5000</v>
      </c>
      <c r="E51" s="1">
        <v>43611</v>
      </c>
      <c r="F51" t="s">
        <v>170</v>
      </c>
      <c r="G51">
        <v>4173200092</v>
      </c>
      <c r="H51" t="s">
        <v>65</v>
      </c>
      <c r="I51" t="s">
        <v>15</v>
      </c>
      <c r="J51" t="s">
        <v>16</v>
      </c>
      <c r="K51">
        <v>7</v>
      </c>
      <c r="L51" s="2">
        <f>IF(LEN(Table1[[#This Row],[phone]]) = 10, Table1[[#This Row],[phone]],"Not Available")</f>
        <v>4173200092</v>
      </c>
    </row>
    <row r="52" spans="1:12" x14ac:dyDescent="0.25">
      <c r="A52" t="s">
        <v>171</v>
      </c>
      <c r="B52" t="s">
        <v>172</v>
      </c>
      <c r="C52">
        <v>25</v>
      </c>
      <c r="D52">
        <v>67550</v>
      </c>
      <c r="E52" s="1">
        <v>44047</v>
      </c>
      <c r="F52" t="s">
        <v>173</v>
      </c>
      <c r="G52">
        <v>3230526443</v>
      </c>
      <c r="H52" t="s">
        <v>20</v>
      </c>
      <c r="I52" t="s">
        <v>15</v>
      </c>
      <c r="J52" t="s">
        <v>16</v>
      </c>
      <c r="K52">
        <v>4.8</v>
      </c>
      <c r="L52" s="2">
        <f>IF(LEN(Table1[[#This Row],[phone]]) = 10, Table1[[#This Row],[phone]],"Not Available")</f>
        <v>3230526443</v>
      </c>
    </row>
    <row r="53" spans="1:12" x14ac:dyDescent="0.25">
      <c r="A53" t="s">
        <v>174</v>
      </c>
      <c r="B53" t="s">
        <v>175</v>
      </c>
      <c r="C53">
        <v>57</v>
      </c>
      <c r="D53">
        <v>143886</v>
      </c>
      <c r="E53" s="1">
        <v>45040</v>
      </c>
      <c r="F53" t="s">
        <v>69</v>
      </c>
      <c r="G53">
        <v>2635417068</v>
      </c>
      <c r="H53" t="s">
        <v>33</v>
      </c>
      <c r="I53" t="s">
        <v>37</v>
      </c>
      <c r="J53" t="s">
        <v>21</v>
      </c>
      <c r="K53">
        <v>2.7</v>
      </c>
      <c r="L53" s="2">
        <f>IF(LEN(Table1[[#This Row],[phone]]) = 10, Table1[[#This Row],[phone]],"Not Available")</f>
        <v>2635417068</v>
      </c>
    </row>
    <row r="54" spans="1:12" x14ac:dyDescent="0.25">
      <c r="A54" t="s">
        <v>176</v>
      </c>
      <c r="B54" t="s">
        <v>177</v>
      </c>
      <c r="C54">
        <v>48</v>
      </c>
      <c r="D54">
        <v>379222</v>
      </c>
      <c r="E54" s="1">
        <v>43538</v>
      </c>
      <c r="F54" t="s">
        <v>178</v>
      </c>
      <c r="G54">
        <v>6432268695</v>
      </c>
      <c r="H54" t="s">
        <v>65</v>
      </c>
      <c r="I54" t="s">
        <v>25</v>
      </c>
      <c r="J54" t="s">
        <v>16</v>
      </c>
      <c r="K54">
        <v>7</v>
      </c>
      <c r="L54" s="2">
        <f>IF(LEN(Table1[[#This Row],[phone]]) = 10, Table1[[#This Row],[phone]],"Not Available")</f>
        <v>6432268695</v>
      </c>
    </row>
    <row r="55" spans="1:12" x14ac:dyDescent="0.25">
      <c r="A55" t="s">
        <v>179</v>
      </c>
      <c r="B55" t="s">
        <v>180</v>
      </c>
      <c r="C55">
        <v>48</v>
      </c>
      <c r="D55">
        <v>5000</v>
      </c>
      <c r="E55" s="1">
        <v>44585</v>
      </c>
      <c r="F55" t="s">
        <v>181</v>
      </c>
      <c r="G55">
        <v>3374954303</v>
      </c>
      <c r="H55" t="s">
        <v>14</v>
      </c>
      <c r="I55" t="s">
        <v>37</v>
      </c>
      <c r="J55" t="s">
        <v>16</v>
      </c>
      <c r="K55">
        <v>2.7</v>
      </c>
      <c r="L55" s="2">
        <f>IF(LEN(Table1[[#This Row],[phone]]) = 10, Table1[[#This Row],[phone]],"Not Available")</f>
        <v>3374954303</v>
      </c>
    </row>
    <row r="56" spans="1:12" x14ac:dyDescent="0.25">
      <c r="A56" t="s">
        <v>182</v>
      </c>
      <c r="B56" t="s">
        <v>183</v>
      </c>
      <c r="C56">
        <v>48</v>
      </c>
      <c r="D56">
        <v>143886</v>
      </c>
      <c r="E56" s="1">
        <v>43839</v>
      </c>
      <c r="F56" t="s">
        <v>184</v>
      </c>
      <c r="G56">
        <v>2048996219</v>
      </c>
      <c r="H56" t="s">
        <v>20</v>
      </c>
      <c r="I56" t="s">
        <v>37</v>
      </c>
      <c r="J56" t="s">
        <v>21</v>
      </c>
      <c r="K56">
        <v>2.7</v>
      </c>
      <c r="L56" s="2">
        <f>IF(LEN(Table1[[#This Row],[phone]]) = 10, Table1[[#This Row],[phone]],"Not Available")</f>
        <v>2048996219</v>
      </c>
    </row>
    <row r="57" spans="1:12" x14ac:dyDescent="0.25">
      <c r="A57" t="s">
        <v>185</v>
      </c>
      <c r="B57" t="s">
        <v>186</v>
      </c>
      <c r="C57">
        <v>25</v>
      </c>
      <c r="D57">
        <v>5000</v>
      </c>
      <c r="E57" s="1">
        <v>42695</v>
      </c>
      <c r="F57" t="s">
        <v>187</v>
      </c>
      <c r="G57">
        <v>5289076993</v>
      </c>
      <c r="H57" t="s">
        <v>65</v>
      </c>
      <c r="I57" t="s">
        <v>15</v>
      </c>
      <c r="J57" t="s">
        <v>16</v>
      </c>
      <c r="K57">
        <v>-2</v>
      </c>
      <c r="L57" s="2">
        <f>IF(LEN(Table1[[#This Row],[phone]]) = 10, Table1[[#This Row],[phone]],"Not Available")</f>
        <v>5289076993</v>
      </c>
    </row>
    <row r="58" spans="1:12" x14ac:dyDescent="0.25">
      <c r="A58" t="s">
        <v>188</v>
      </c>
      <c r="B58" t="s">
        <v>189</v>
      </c>
      <c r="C58">
        <v>22</v>
      </c>
      <c r="D58">
        <v>143886</v>
      </c>
      <c r="E58" s="1">
        <v>45333</v>
      </c>
      <c r="F58" t="s">
        <v>190</v>
      </c>
      <c r="G58">
        <v>7331515961</v>
      </c>
      <c r="H58" t="s">
        <v>70</v>
      </c>
      <c r="I58" t="s">
        <v>29</v>
      </c>
      <c r="J58" t="s">
        <v>16</v>
      </c>
      <c r="K58">
        <v>3.4</v>
      </c>
      <c r="L58" s="2">
        <f>IF(LEN(Table1[[#This Row],[phone]]) = 10, Table1[[#This Row],[phone]],"Not Available")</f>
        <v>7331515961</v>
      </c>
    </row>
    <row r="59" spans="1:12" x14ac:dyDescent="0.25">
      <c r="A59" t="s">
        <v>191</v>
      </c>
      <c r="B59" t="s">
        <v>192</v>
      </c>
      <c r="C59">
        <v>48</v>
      </c>
      <c r="D59">
        <v>294834</v>
      </c>
      <c r="E59" s="1">
        <v>44679</v>
      </c>
      <c r="F59" t="s">
        <v>193</v>
      </c>
      <c r="G59">
        <v>8383277329</v>
      </c>
      <c r="H59" t="s">
        <v>65</v>
      </c>
      <c r="I59" t="s">
        <v>15</v>
      </c>
      <c r="J59" t="s">
        <v>21</v>
      </c>
      <c r="K59">
        <v>1.3</v>
      </c>
      <c r="L59" s="2">
        <f>IF(LEN(Table1[[#This Row],[phone]]) = 10, Table1[[#This Row],[phone]],"Not Available")</f>
        <v>8383277329</v>
      </c>
    </row>
    <row r="60" spans="1:12" x14ac:dyDescent="0.25">
      <c r="A60" t="s">
        <v>194</v>
      </c>
      <c r="B60" t="s">
        <v>195</v>
      </c>
      <c r="C60">
        <v>25</v>
      </c>
      <c r="D60">
        <v>384504</v>
      </c>
      <c r="E60" s="1">
        <v>44796</v>
      </c>
      <c r="F60" t="s">
        <v>196</v>
      </c>
      <c r="G60">
        <v>1482181885</v>
      </c>
      <c r="H60" t="s">
        <v>70</v>
      </c>
      <c r="I60" t="s">
        <v>15</v>
      </c>
      <c r="J60" t="s">
        <v>16</v>
      </c>
      <c r="K60">
        <v>2.7</v>
      </c>
      <c r="L60" s="2">
        <f>IF(LEN(Table1[[#This Row],[phone]]) = 10, Table1[[#This Row],[phone]],"Not Available")</f>
        <v>1482181885</v>
      </c>
    </row>
    <row r="61" spans="1:12" x14ac:dyDescent="0.25">
      <c r="A61" t="s">
        <v>197</v>
      </c>
      <c r="B61" t="s">
        <v>198</v>
      </c>
      <c r="C61">
        <v>85</v>
      </c>
      <c r="D61">
        <v>5000</v>
      </c>
      <c r="E61" s="1">
        <v>44215</v>
      </c>
      <c r="F61" t="s">
        <v>199</v>
      </c>
      <c r="G61">
        <v>80274</v>
      </c>
      <c r="H61" t="s">
        <v>70</v>
      </c>
      <c r="I61" t="s">
        <v>37</v>
      </c>
      <c r="J61" t="s">
        <v>21</v>
      </c>
      <c r="K61">
        <v>7</v>
      </c>
      <c r="L61" s="2" t="str">
        <f>IF(LEN(Table1[[#This Row],[phone]]) = 10, Table1[[#This Row],[phone]],"Not Available")</f>
        <v>Not Available</v>
      </c>
    </row>
    <row r="62" spans="1:12" x14ac:dyDescent="0.25">
      <c r="A62" t="s">
        <v>200</v>
      </c>
      <c r="B62" t="s">
        <v>201</v>
      </c>
      <c r="C62">
        <v>48</v>
      </c>
      <c r="D62">
        <v>116325</v>
      </c>
      <c r="E62" s="1">
        <v>44227</v>
      </c>
      <c r="F62" t="s">
        <v>202</v>
      </c>
      <c r="G62">
        <v>9042117279</v>
      </c>
      <c r="H62" t="s">
        <v>20</v>
      </c>
      <c r="I62" t="s">
        <v>15</v>
      </c>
      <c r="J62" t="s">
        <v>16</v>
      </c>
      <c r="K62">
        <v>3.4</v>
      </c>
      <c r="L62" s="2">
        <f>IF(LEN(Table1[[#This Row],[phone]]) = 10, Table1[[#This Row],[phone]],"Not Available")</f>
        <v>9042117279</v>
      </c>
    </row>
    <row r="63" spans="1:12" x14ac:dyDescent="0.25">
      <c r="A63" t="s">
        <v>203</v>
      </c>
      <c r="B63" t="s">
        <v>204</v>
      </c>
      <c r="C63">
        <v>48</v>
      </c>
      <c r="D63">
        <v>143886</v>
      </c>
      <c r="E63" s="1">
        <v>43722</v>
      </c>
      <c r="F63" t="s">
        <v>205</v>
      </c>
      <c r="G63">
        <v>6077102153</v>
      </c>
      <c r="H63" t="s">
        <v>65</v>
      </c>
      <c r="I63" t="s">
        <v>15</v>
      </c>
      <c r="J63" t="s">
        <v>16</v>
      </c>
      <c r="K63">
        <v>2.7</v>
      </c>
      <c r="L63" s="2">
        <f>IF(LEN(Table1[[#This Row],[phone]]) = 10, Table1[[#This Row],[phone]],"Not Available")</f>
        <v>6077102153</v>
      </c>
    </row>
    <row r="64" spans="1:12" x14ac:dyDescent="0.25">
      <c r="A64" t="s">
        <v>206</v>
      </c>
      <c r="B64" t="s">
        <v>207</v>
      </c>
      <c r="C64">
        <v>85</v>
      </c>
      <c r="D64">
        <v>191994</v>
      </c>
      <c r="E64" s="1">
        <v>45940</v>
      </c>
      <c r="F64" t="s">
        <v>208</v>
      </c>
      <c r="G64">
        <v>8378102595</v>
      </c>
      <c r="H64" t="s">
        <v>20</v>
      </c>
      <c r="I64" t="s">
        <v>37</v>
      </c>
      <c r="J64" t="s">
        <v>21</v>
      </c>
      <c r="K64">
        <v>4.4000000000000004</v>
      </c>
      <c r="L64" s="2">
        <f>IF(LEN(Table1[[#This Row],[phone]]) = 10, Table1[[#This Row],[phone]],"Not Available")</f>
        <v>8378102595</v>
      </c>
    </row>
    <row r="65" spans="1:12" x14ac:dyDescent="0.25">
      <c r="A65" t="s">
        <v>209</v>
      </c>
      <c r="B65" t="s">
        <v>210</v>
      </c>
      <c r="C65">
        <v>48</v>
      </c>
      <c r="D65">
        <v>143886</v>
      </c>
      <c r="E65" s="1">
        <v>45853</v>
      </c>
      <c r="F65" t="s">
        <v>211</v>
      </c>
      <c r="G65">
        <v>9707951566</v>
      </c>
      <c r="H65" t="s">
        <v>20</v>
      </c>
      <c r="I65" t="s">
        <v>15</v>
      </c>
      <c r="J65" t="s">
        <v>16</v>
      </c>
      <c r="K65">
        <v>-2</v>
      </c>
      <c r="L65" s="2">
        <f>IF(LEN(Table1[[#This Row],[phone]]) = 10, Table1[[#This Row],[phone]],"Not Available")</f>
        <v>9707951566</v>
      </c>
    </row>
    <row r="66" spans="1:12" x14ac:dyDescent="0.25">
      <c r="A66" t="s">
        <v>212</v>
      </c>
      <c r="B66" t="s">
        <v>213</v>
      </c>
      <c r="C66">
        <v>25</v>
      </c>
      <c r="D66">
        <v>143886</v>
      </c>
      <c r="E66" s="1">
        <v>45214</v>
      </c>
      <c r="F66" t="s">
        <v>214</v>
      </c>
      <c r="G66">
        <v>7276503628</v>
      </c>
      <c r="H66" t="s">
        <v>14</v>
      </c>
      <c r="I66" t="s">
        <v>37</v>
      </c>
      <c r="J66" t="s">
        <v>21</v>
      </c>
      <c r="K66">
        <v>2.7</v>
      </c>
      <c r="L66" s="2">
        <f>IF(LEN(Table1[[#This Row],[phone]]) = 10, Table1[[#This Row],[phone]],"Not Available")</f>
        <v>7276503628</v>
      </c>
    </row>
    <row r="67" spans="1:12" x14ac:dyDescent="0.25">
      <c r="A67" t="s">
        <v>215</v>
      </c>
      <c r="B67" t="s">
        <v>216</v>
      </c>
      <c r="C67">
        <v>48</v>
      </c>
      <c r="D67">
        <v>415957</v>
      </c>
      <c r="E67" s="1">
        <v>45326</v>
      </c>
      <c r="F67" t="s">
        <v>217</v>
      </c>
      <c r="G67">
        <v>9728169979</v>
      </c>
      <c r="H67" t="s">
        <v>20</v>
      </c>
      <c r="I67" t="s">
        <v>25</v>
      </c>
      <c r="J67" t="s">
        <v>21</v>
      </c>
      <c r="K67">
        <v>-2</v>
      </c>
      <c r="L67" s="2">
        <f>IF(LEN(Table1[[#This Row],[phone]]) = 10, Table1[[#This Row],[phone]],"Not Available")</f>
        <v>9728169979</v>
      </c>
    </row>
    <row r="68" spans="1:12" x14ac:dyDescent="0.25">
      <c r="A68" t="s">
        <v>218</v>
      </c>
      <c r="B68" t="s">
        <v>219</v>
      </c>
      <c r="C68">
        <v>48</v>
      </c>
      <c r="D68">
        <v>143886</v>
      </c>
      <c r="E68" s="1">
        <v>43426</v>
      </c>
      <c r="F68" t="s">
        <v>220</v>
      </c>
      <c r="G68">
        <v>4135205789</v>
      </c>
      <c r="H68" t="s">
        <v>20</v>
      </c>
      <c r="I68" t="s">
        <v>29</v>
      </c>
      <c r="J68" t="s">
        <v>16</v>
      </c>
      <c r="K68">
        <v>3.2</v>
      </c>
      <c r="L68" s="2">
        <f>IF(LEN(Table1[[#This Row],[phone]]) = 10, Table1[[#This Row],[phone]],"Not Available")</f>
        <v>4135205789</v>
      </c>
    </row>
    <row r="69" spans="1:12" x14ac:dyDescent="0.25">
      <c r="A69" t="s">
        <v>221</v>
      </c>
      <c r="B69" t="s">
        <v>222</v>
      </c>
      <c r="C69">
        <v>50</v>
      </c>
      <c r="D69">
        <v>143886</v>
      </c>
      <c r="E69" s="1">
        <v>44026</v>
      </c>
      <c r="F69" t="s">
        <v>69</v>
      </c>
      <c r="G69">
        <v>1918707240</v>
      </c>
      <c r="H69" t="s">
        <v>65</v>
      </c>
      <c r="I69" t="s">
        <v>15</v>
      </c>
      <c r="J69" t="s">
        <v>16</v>
      </c>
      <c r="K69">
        <v>7</v>
      </c>
      <c r="L69" s="2">
        <f>IF(LEN(Table1[[#This Row],[phone]]) = 10, Table1[[#This Row],[phone]],"Not Available")</f>
        <v>1918707240</v>
      </c>
    </row>
    <row r="70" spans="1:12" x14ac:dyDescent="0.25">
      <c r="A70" t="s">
        <v>223</v>
      </c>
      <c r="B70" t="s">
        <v>224</v>
      </c>
      <c r="C70">
        <v>86</v>
      </c>
      <c r="D70">
        <v>183077</v>
      </c>
      <c r="E70" s="1">
        <v>42692</v>
      </c>
      <c r="F70" t="s">
        <v>225</v>
      </c>
      <c r="G70">
        <v>8460500285</v>
      </c>
      <c r="H70" t="s">
        <v>20</v>
      </c>
      <c r="I70" t="s">
        <v>37</v>
      </c>
      <c r="J70" t="s">
        <v>16</v>
      </c>
      <c r="K70">
        <v>7</v>
      </c>
      <c r="L70" s="2">
        <f>IF(LEN(Table1[[#This Row],[phone]]) = 10, Table1[[#This Row],[phone]],"Not Available")</f>
        <v>8460500285</v>
      </c>
    </row>
    <row r="71" spans="1:12" x14ac:dyDescent="0.25">
      <c r="A71" t="s">
        <v>226</v>
      </c>
      <c r="B71" t="s">
        <v>227</v>
      </c>
      <c r="C71">
        <v>25</v>
      </c>
      <c r="D71">
        <v>143886</v>
      </c>
      <c r="E71" s="1">
        <v>45041</v>
      </c>
      <c r="F71" t="s">
        <v>228</v>
      </c>
      <c r="G71">
        <v>7322950130</v>
      </c>
      <c r="H71" t="s">
        <v>20</v>
      </c>
      <c r="I71" t="s">
        <v>15</v>
      </c>
      <c r="J71" t="s">
        <v>16</v>
      </c>
      <c r="K71">
        <v>7</v>
      </c>
      <c r="L71" s="2">
        <f>IF(LEN(Table1[[#This Row],[phone]]) = 10, Table1[[#This Row],[phone]],"Not Available")</f>
        <v>7322950130</v>
      </c>
    </row>
    <row r="72" spans="1:12" x14ac:dyDescent="0.25">
      <c r="A72" t="s">
        <v>229</v>
      </c>
      <c r="B72" t="s">
        <v>230</v>
      </c>
      <c r="C72">
        <v>63</v>
      </c>
      <c r="D72">
        <v>5000</v>
      </c>
      <c r="E72" s="1">
        <v>42669</v>
      </c>
      <c r="F72" t="s">
        <v>231</v>
      </c>
      <c r="G72">
        <v>5350396305</v>
      </c>
      <c r="H72" t="s">
        <v>65</v>
      </c>
      <c r="I72" t="s">
        <v>15</v>
      </c>
      <c r="J72" t="s">
        <v>21</v>
      </c>
      <c r="K72">
        <v>2.7</v>
      </c>
      <c r="L72" s="2">
        <f>IF(LEN(Table1[[#This Row],[phone]]) = 10, Table1[[#This Row],[phone]],"Not Available")</f>
        <v>5350396305</v>
      </c>
    </row>
    <row r="73" spans="1:12" x14ac:dyDescent="0.25">
      <c r="A73" t="s">
        <v>232</v>
      </c>
      <c r="B73" t="s">
        <v>233</v>
      </c>
      <c r="C73">
        <v>48</v>
      </c>
      <c r="D73">
        <v>363708</v>
      </c>
      <c r="E73" s="1">
        <v>44048</v>
      </c>
      <c r="F73" t="s">
        <v>234</v>
      </c>
      <c r="G73">
        <v>1372342172</v>
      </c>
      <c r="H73" t="s">
        <v>14</v>
      </c>
      <c r="I73" t="s">
        <v>66</v>
      </c>
      <c r="J73" t="s">
        <v>16</v>
      </c>
      <c r="K73">
        <v>-2</v>
      </c>
      <c r="L73" s="2">
        <f>IF(LEN(Table1[[#This Row],[phone]]) = 10, Table1[[#This Row],[phone]],"Not Available")</f>
        <v>1372342172</v>
      </c>
    </row>
    <row r="74" spans="1:12" x14ac:dyDescent="0.25">
      <c r="A74" t="s">
        <v>235</v>
      </c>
      <c r="B74" t="s">
        <v>236</v>
      </c>
      <c r="C74">
        <v>48</v>
      </c>
      <c r="D74">
        <v>143886</v>
      </c>
      <c r="E74" s="1">
        <v>43283</v>
      </c>
      <c r="F74" t="s">
        <v>237</v>
      </c>
      <c r="G74">
        <v>4435454450</v>
      </c>
      <c r="H74" t="s">
        <v>33</v>
      </c>
      <c r="I74" t="s">
        <v>66</v>
      </c>
      <c r="J74" t="s">
        <v>16</v>
      </c>
      <c r="K74">
        <v>7</v>
      </c>
      <c r="L74" s="2">
        <f>IF(LEN(Table1[[#This Row],[phone]]) = 10, Table1[[#This Row],[phone]],"Not Available")</f>
        <v>4435454450</v>
      </c>
    </row>
    <row r="75" spans="1:12" x14ac:dyDescent="0.25">
      <c r="A75" t="s">
        <v>238</v>
      </c>
      <c r="B75" t="s">
        <v>239</v>
      </c>
      <c r="C75">
        <v>89</v>
      </c>
      <c r="D75">
        <v>295213</v>
      </c>
      <c r="E75" s="1">
        <v>45764</v>
      </c>
      <c r="F75" t="s">
        <v>240</v>
      </c>
      <c r="G75">
        <v>94662</v>
      </c>
      <c r="H75" t="s">
        <v>33</v>
      </c>
      <c r="I75" t="s">
        <v>15</v>
      </c>
      <c r="J75" t="s">
        <v>16</v>
      </c>
      <c r="K75">
        <v>2.7</v>
      </c>
      <c r="L75" s="2" t="str">
        <f>IF(LEN(Table1[[#This Row],[phone]]) = 10, Table1[[#This Row],[phone]],"Not Available")</f>
        <v>Not Available</v>
      </c>
    </row>
    <row r="76" spans="1:12" x14ac:dyDescent="0.25">
      <c r="A76" t="s">
        <v>241</v>
      </c>
      <c r="B76" t="s">
        <v>242</v>
      </c>
      <c r="C76">
        <v>25</v>
      </c>
      <c r="D76">
        <v>143886</v>
      </c>
      <c r="E76" s="1">
        <v>44998</v>
      </c>
      <c r="F76" t="s">
        <v>243</v>
      </c>
      <c r="G76">
        <v>2614325643</v>
      </c>
      <c r="H76" t="s">
        <v>70</v>
      </c>
      <c r="I76" t="s">
        <v>25</v>
      </c>
      <c r="J76" t="s">
        <v>16</v>
      </c>
      <c r="K76">
        <v>2.7</v>
      </c>
      <c r="L76" s="2">
        <f>IF(LEN(Table1[[#This Row],[phone]]) = 10, Table1[[#This Row],[phone]],"Not Available")</f>
        <v>2614325643</v>
      </c>
    </row>
    <row r="77" spans="1:12" x14ac:dyDescent="0.25">
      <c r="A77" t="s">
        <v>244</v>
      </c>
      <c r="B77" t="s">
        <v>245</v>
      </c>
      <c r="C77">
        <v>25</v>
      </c>
      <c r="D77">
        <v>143886</v>
      </c>
      <c r="E77" s="1">
        <v>43201</v>
      </c>
      <c r="F77" t="s">
        <v>246</v>
      </c>
      <c r="G77">
        <v>512305664</v>
      </c>
      <c r="H77" t="s">
        <v>65</v>
      </c>
      <c r="I77" t="s">
        <v>15</v>
      </c>
      <c r="J77" t="s">
        <v>16</v>
      </c>
      <c r="K77">
        <v>7</v>
      </c>
      <c r="L77" s="2" t="str">
        <f>IF(LEN(Table1[[#This Row],[phone]]) = 10, Table1[[#This Row],[phone]],"Not Available")</f>
        <v>Not Available</v>
      </c>
    </row>
    <row r="78" spans="1:12" x14ac:dyDescent="0.25">
      <c r="A78" t="s">
        <v>247</v>
      </c>
      <c r="B78" t="s">
        <v>248</v>
      </c>
      <c r="C78">
        <v>48</v>
      </c>
      <c r="D78">
        <v>143886</v>
      </c>
      <c r="E78" s="1">
        <v>45187</v>
      </c>
      <c r="F78" t="s">
        <v>249</v>
      </c>
      <c r="G78">
        <v>9413342180</v>
      </c>
      <c r="H78" t="s">
        <v>33</v>
      </c>
      <c r="I78" t="s">
        <v>15</v>
      </c>
      <c r="J78" t="s">
        <v>16</v>
      </c>
      <c r="K78">
        <v>7</v>
      </c>
      <c r="L78" s="2">
        <f>IF(LEN(Table1[[#This Row],[phone]]) = 10, Table1[[#This Row],[phone]],"Not Available")</f>
        <v>9413342180</v>
      </c>
    </row>
    <row r="79" spans="1:12" x14ac:dyDescent="0.25">
      <c r="A79" t="s">
        <v>250</v>
      </c>
      <c r="B79" t="s">
        <v>251</v>
      </c>
      <c r="C79">
        <v>48</v>
      </c>
      <c r="D79">
        <v>102125</v>
      </c>
      <c r="E79" s="1">
        <v>44918</v>
      </c>
      <c r="F79" t="s">
        <v>252</v>
      </c>
      <c r="G79">
        <v>8533315237</v>
      </c>
      <c r="H79" t="s">
        <v>20</v>
      </c>
      <c r="I79" t="s">
        <v>66</v>
      </c>
      <c r="J79" t="s">
        <v>16</v>
      </c>
      <c r="K79">
        <v>-2</v>
      </c>
      <c r="L79" s="2">
        <f>IF(LEN(Table1[[#This Row],[phone]]) = 10, Table1[[#This Row],[phone]],"Not Available")</f>
        <v>8533315237</v>
      </c>
    </row>
    <row r="80" spans="1:12" x14ac:dyDescent="0.25">
      <c r="A80" t="s">
        <v>253</v>
      </c>
      <c r="B80" t="s">
        <v>254</v>
      </c>
      <c r="C80">
        <v>88</v>
      </c>
      <c r="D80">
        <v>429769</v>
      </c>
      <c r="E80" s="1">
        <v>42728</v>
      </c>
      <c r="F80" t="s">
        <v>255</v>
      </c>
      <c r="G80">
        <v>5553098913</v>
      </c>
      <c r="H80" t="s">
        <v>65</v>
      </c>
      <c r="I80" t="s">
        <v>15</v>
      </c>
      <c r="J80" t="s">
        <v>21</v>
      </c>
      <c r="K80">
        <v>7</v>
      </c>
      <c r="L80" s="2">
        <f>IF(LEN(Table1[[#This Row],[phone]]) = 10, Table1[[#This Row],[phone]],"Not Available")</f>
        <v>5553098913</v>
      </c>
    </row>
    <row r="81" spans="1:12" x14ac:dyDescent="0.25">
      <c r="A81" t="s">
        <v>256</v>
      </c>
      <c r="B81" t="s">
        <v>257</v>
      </c>
      <c r="C81">
        <v>78</v>
      </c>
      <c r="D81">
        <v>143886</v>
      </c>
      <c r="E81" s="1">
        <v>43833</v>
      </c>
      <c r="F81" t="s">
        <v>258</v>
      </c>
      <c r="G81">
        <v>8026188113</v>
      </c>
      <c r="H81" t="s">
        <v>20</v>
      </c>
      <c r="I81" t="s">
        <v>15</v>
      </c>
      <c r="J81" t="s">
        <v>16</v>
      </c>
      <c r="K81">
        <v>-2</v>
      </c>
      <c r="L81" s="2">
        <f>IF(LEN(Table1[[#This Row],[phone]]) = 10, Table1[[#This Row],[phone]],"Not Available")</f>
        <v>8026188113</v>
      </c>
    </row>
    <row r="82" spans="1:12" x14ac:dyDescent="0.25">
      <c r="A82" t="s">
        <v>259</v>
      </c>
      <c r="B82" t="s">
        <v>260</v>
      </c>
      <c r="C82">
        <v>48</v>
      </c>
      <c r="D82">
        <v>5000</v>
      </c>
      <c r="E82" s="1">
        <v>45008</v>
      </c>
      <c r="F82" t="s">
        <v>261</v>
      </c>
      <c r="G82">
        <v>720371614</v>
      </c>
      <c r="H82" t="s">
        <v>20</v>
      </c>
      <c r="I82" t="s">
        <v>29</v>
      </c>
      <c r="J82" t="s">
        <v>16</v>
      </c>
      <c r="K82">
        <v>2.7</v>
      </c>
      <c r="L82" s="2" t="str">
        <f>IF(LEN(Table1[[#This Row],[phone]]) = 10, Table1[[#This Row],[phone]],"Not Available")</f>
        <v>Not Available</v>
      </c>
    </row>
    <row r="83" spans="1:12" x14ac:dyDescent="0.25">
      <c r="A83" t="s">
        <v>262</v>
      </c>
      <c r="B83" t="s">
        <v>263</v>
      </c>
      <c r="C83">
        <v>77</v>
      </c>
      <c r="D83">
        <v>143886</v>
      </c>
      <c r="E83" s="1">
        <v>45479</v>
      </c>
      <c r="F83" t="s">
        <v>264</v>
      </c>
      <c r="G83">
        <v>9468434061</v>
      </c>
      <c r="H83" t="s">
        <v>33</v>
      </c>
      <c r="I83" t="s">
        <v>66</v>
      </c>
      <c r="J83" t="s">
        <v>16</v>
      </c>
      <c r="K83">
        <v>2.7</v>
      </c>
      <c r="L83" s="2">
        <f>IF(LEN(Table1[[#This Row],[phone]]) = 10, Table1[[#This Row],[phone]],"Not Available")</f>
        <v>9468434061</v>
      </c>
    </row>
    <row r="84" spans="1:12" x14ac:dyDescent="0.25">
      <c r="A84" t="s">
        <v>265</v>
      </c>
      <c r="B84" t="s">
        <v>266</v>
      </c>
      <c r="C84">
        <v>48</v>
      </c>
      <c r="D84">
        <v>136828</v>
      </c>
      <c r="E84" s="1">
        <v>44310</v>
      </c>
      <c r="F84" t="s">
        <v>267</v>
      </c>
      <c r="G84">
        <v>8092217687</v>
      </c>
      <c r="H84" t="s">
        <v>70</v>
      </c>
      <c r="I84" t="s">
        <v>66</v>
      </c>
      <c r="J84" t="s">
        <v>21</v>
      </c>
      <c r="K84">
        <v>2.7</v>
      </c>
      <c r="L84" s="2">
        <f>IF(LEN(Table1[[#This Row],[phone]]) = 10, Table1[[#This Row],[phone]],"Not Available")</f>
        <v>8092217687</v>
      </c>
    </row>
    <row r="85" spans="1:12" x14ac:dyDescent="0.25">
      <c r="A85" t="s">
        <v>268</v>
      </c>
      <c r="B85" t="s">
        <v>269</v>
      </c>
      <c r="C85">
        <v>48</v>
      </c>
      <c r="D85">
        <v>143886</v>
      </c>
      <c r="E85" s="1">
        <v>46116</v>
      </c>
      <c r="F85" t="s">
        <v>270</v>
      </c>
      <c r="G85">
        <v>11173</v>
      </c>
      <c r="H85" t="s">
        <v>20</v>
      </c>
      <c r="I85" t="s">
        <v>15</v>
      </c>
      <c r="J85" t="s">
        <v>16</v>
      </c>
      <c r="K85">
        <v>-2</v>
      </c>
      <c r="L85" s="2" t="str">
        <f>IF(LEN(Table1[[#This Row],[phone]]) = 10, Table1[[#This Row],[phone]],"Not Available")</f>
        <v>Not Available</v>
      </c>
    </row>
    <row r="86" spans="1:12" x14ac:dyDescent="0.25">
      <c r="A86" t="s">
        <v>271</v>
      </c>
      <c r="B86" t="s">
        <v>272</v>
      </c>
      <c r="C86">
        <v>48</v>
      </c>
      <c r="D86">
        <v>5000</v>
      </c>
      <c r="E86" s="1">
        <v>44490</v>
      </c>
      <c r="F86" t="s">
        <v>273</v>
      </c>
      <c r="G86">
        <v>7407645674</v>
      </c>
      <c r="H86" t="s">
        <v>20</v>
      </c>
      <c r="I86" t="s">
        <v>15</v>
      </c>
      <c r="J86" t="s">
        <v>16</v>
      </c>
      <c r="K86">
        <v>7</v>
      </c>
      <c r="L86" s="2">
        <f>IF(LEN(Table1[[#This Row],[phone]]) = 10, Table1[[#This Row],[phone]],"Not Available")</f>
        <v>7407645674</v>
      </c>
    </row>
    <row r="87" spans="1:12" x14ac:dyDescent="0.25">
      <c r="A87" t="s">
        <v>274</v>
      </c>
      <c r="B87" t="s">
        <v>275</v>
      </c>
      <c r="C87">
        <v>89</v>
      </c>
      <c r="D87">
        <v>5000</v>
      </c>
      <c r="E87" s="1">
        <v>44171</v>
      </c>
      <c r="F87" t="s">
        <v>276</v>
      </c>
      <c r="G87">
        <v>6646936935</v>
      </c>
      <c r="H87" t="s">
        <v>65</v>
      </c>
      <c r="I87" t="s">
        <v>25</v>
      </c>
      <c r="J87" t="s">
        <v>16</v>
      </c>
      <c r="K87">
        <v>7</v>
      </c>
      <c r="L87" s="2">
        <f>IF(LEN(Table1[[#This Row],[phone]]) = 10, Table1[[#This Row],[phone]],"Not Available")</f>
        <v>6646936935</v>
      </c>
    </row>
    <row r="88" spans="1:12" x14ac:dyDescent="0.25">
      <c r="A88" t="s">
        <v>277</v>
      </c>
      <c r="B88" t="s">
        <v>278</v>
      </c>
      <c r="C88">
        <v>48</v>
      </c>
      <c r="D88">
        <v>119704</v>
      </c>
      <c r="E88" s="1">
        <v>43689</v>
      </c>
      <c r="F88" t="s">
        <v>279</v>
      </c>
      <c r="G88">
        <v>2153194410</v>
      </c>
      <c r="H88" t="s">
        <v>20</v>
      </c>
      <c r="I88" t="s">
        <v>66</v>
      </c>
      <c r="J88" t="s">
        <v>21</v>
      </c>
      <c r="K88">
        <v>1.3</v>
      </c>
      <c r="L88" s="2">
        <f>IF(LEN(Table1[[#This Row],[phone]]) = 10, Table1[[#This Row],[phone]],"Not Available")</f>
        <v>2153194410</v>
      </c>
    </row>
    <row r="89" spans="1:12" x14ac:dyDescent="0.25">
      <c r="A89" t="s">
        <v>280</v>
      </c>
      <c r="B89" t="s">
        <v>281</v>
      </c>
      <c r="C89">
        <v>88</v>
      </c>
      <c r="D89">
        <v>451272</v>
      </c>
      <c r="E89" s="1">
        <v>43906</v>
      </c>
      <c r="F89" t="s">
        <v>282</v>
      </c>
      <c r="G89">
        <v>9928213377</v>
      </c>
      <c r="H89" t="s">
        <v>70</v>
      </c>
      <c r="I89" t="s">
        <v>29</v>
      </c>
      <c r="J89" t="s">
        <v>21</v>
      </c>
      <c r="K89">
        <v>1.6</v>
      </c>
      <c r="L89" s="2">
        <f>IF(LEN(Table1[[#This Row],[phone]]) = 10, Table1[[#This Row],[phone]],"Not Available")</f>
        <v>9928213377</v>
      </c>
    </row>
    <row r="90" spans="1:12" x14ac:dyDescent="0.25">
      <c r="A90" t="s">
        <v>283</v>
      </c>
      <c r="B90" t="s">
        <v>284</v>
      </c>
      <c r="C90">
        <v>87</v>
      </c>
      <c r="D90">
        <v>143886</v>
      </c>
      <c r="E90" s="1">
        <v>43867</v>
      </c>
      <c r="F90" t="s">
        <v>285</v>
      </c>
      <c r="G90">
        <v>2194345132</v>
      </c>
      <c r="H90" t="s">
        <v>20</v>
      </c>
      <c r="I90" t="s">
        <v>37</v>
      </c>
      <c r="J90" t="s">
        <v>21</v>
      </c>
      <c r="K90">
        <v>2.7</v>
      </c>
      <c r="L90" s="2">
        <f>IF(LEN(Table1[[#This Row],[phone]]) = 10, Table1[[#This Row],[phone]],"Not Available")</f>
        <v>2194345132</v>
      </c>
    </row>
    <row r="91" spans="1:12" x14ac:dyDescent="0.25">
      <c r="A91" t="s">
        <v>286</v>
      </c>
      <c r="B91" t="s">
        <v>287</v>
      </c>
      <c r="C91">
        <v>48</v>
      </c>
      <c r="D91">
        <v>57147</v>
      </c>
      <c r="E91" s="1">
        <v>44887</v>
      </c>
      <c r="F91" t="s">
        <v>288</v>
      </c>
      <c r="G91">
        <v>507149447</v>
      </c>
      <c r="H91" t="s">
        <v>20</v>
      </c>
      <c r="I91" t="s">
        <v>37</v>
      </c>
      <c r="J91" t="s">
        <v>16</v>
      </c>
      <c r="K91">
        <v>7</v>
      </c>
      <c r="L91" s="2" t="str">
        <f>IF(LEN(Table1[[#This Row],[phone]]) = 10, Table1[[#This Row],[phone]],"Not Available")</f>
        <v>Not Available</v>
      </c>
    </row>
    <row r="92" spans="1:12" x14ac:dyDescent="0.25">
      <c r="A92" t="s">
        <v>289</v>
      </c>
      <c r="B92" t="s">
        <v>290</v>
      </c>
      <c r="C92">
        <v>25</v>
      </c>
      <c r="D92">
        <v>491278</v>
      </c>
      <c r="E92" s="1">
        <v>45876</v>
      </c>
      <c r="F92" t="s">
        <v>291</v>
      </c>
      <c r="G92">
        <v>1062456851</v>
      </c>
      <c r="H92" t="s">
        <v>20</v>
      </c>
      <c r="I92" t="s">
        <v>15</v>
      </c>
      <c r="J92" t="s">
        <v>16</v>
      </c>
      <c r="K92">
        <v>2.7</v>
      </c>
      <c r="L92" s="2">
        <f>IF(LEN(Table1[[#This Row],[phone]]) = 10, Table1[[#This Row],[phone]],"Not Available")</f>
        <v>1062456851</v>
      </c>
    </row>
    <row r="93" spans="1:12" x14ac:dyDescent="0.25">
      <c r="A93" t="s">
        <v>292</v>
      </c>
      <c r="B93" t="s">
        <v>293</v>
      </c>
      <c r="C93">
        <v>65</v>
      </c>
      <c r="D93">
        <v>261485</v>
      </c>
      <c r="E93" s="1">
        <v>45917</v>
      </c>
      <c r="F93" t="s">
        <v>294</v>
      </c>
      <c r="G93">
        <v>8538738552</v>
      </c>
      <c r="H93" t="s">
        <v>65</v>
      </c>
      <c r="I93" t="s">
        <v>15</v>
      </c>
      <c r="J93" t="s">
        <v>16</v>
      </c>
      <c r="K93">
        <v>2.2000000000000002</v>
      </c>
      <c r="L93" s="2">
        <f>IF(LEN(Table1[[#This Row],[phone]]) = 10, Table1[[#This Row],[phone]],"Not Available")</f>
        <v>8538738552</v>
      </c>
    </row>
    <row r="94" spans="1:12" x14ac:dyDescent="0.25">
      <c r="A94" t="s">
        <v>295</v>
      </c>
      <c r="B94" t="s">
        <v>296</v>
      </c>
      <c r="C94">
        <v>25</v>
      </c>
      <c r="D94">
        <v>5000</v>
      </c>
      <c r="E94" s="1">
        <v>43266</v>
      </c>
      <c r="F94" t="s">
        <v>297</v>
      </c>
      <c r="G94">
        <v>2599808680</v>
      </c>
      <c r="H94" t="s">
        <v>20</v>
      </c>
      <c r="I94" t="s">
        <v>25</v>
      </c>
      <c r="J94" t="s">
        <v>16</v>
      </c>
      <c r="K94">
        <v>2</v>
      </c>
      <c r="L94" s="2">
        <f>IF(LEN(Table1[[#This Row],[phone]]) = 10, Table1[[#This Row],[phone]],"Not Available")</f>
        <v>2599808680</v>
      </c>
    </row>
    <row r="95" spans="1:12" x14ac:dyDescent="0.25">
      <c r="A95" t="s">
        <v>298</v>
      </c>
      <c r="B95" t="s">
        <v>299</v>
      </c>
      <c r="C95">
        <v>25</v>
      </c>
      <c r="D95">
        <v>139667</v>
      </c>
      <c r="E95" s="1">
        <v>43864</v>
      </c>
      <c r="F95" t="s">
        <v>300</v>
      </c>
      <c r="G95">
        <v>5384782684</v>
      </c>
      <c r="H95" t="s">
        <v>20</v>
      </c>
      <c r="I95" t="s">
        <v>66</v>
      </c>
      <c r="J95" t="s">
        <v>21</v>
      </c>
      <c r="K95">
        <v>7</v>
      </c>
      <c r="L95" s="2">
        <f>IF(LEN(Table1[[#This Row],[phone]]) = 10, Table1[[#This Row],[phone]],"Not Available")</f>
        <v>5384782684</v>
      </c>
    </row>
    <row r="96" spans="1:12" x14ac:dyDescent="0.25">
      <c r="A96" t="s">
        <v>301</v>
      </c>
      <c r="B96" t="s">
        <v>302</v>
      </c>
      <c r="C96">
        <v>48</v>
      </c>
      <c r="D96">
        <v>5000</v>
      </c>
      <c r="E96" s="1">
        <v>43728</v>
      </c>
      <c r="F96" t="s">
        <v>303</v>
      </c>
      <c r="G96">
        <v>7310577136</v>
      </c>
      <c r="H96" t="s">
        <v>65</v>
      </c>
      <c r="I96" t="s">
        <v>66</v>
      </c>
      <c r="J96" t="s">
        <v>21</v>
      </c>
      <c r="K96">
        <v>7</v>
      </c>
      <c r="L96" s="2">
        <f>IF(LEN(Table1[[#This Row],[phone]]) = 10, Table1[[#This Row],[phone]],"Not Available")</f>
        <v>7310577136</v>
      </c>
    </row>
    <row r="97" spans="1:12" x14ac:dyDescent="0.25">
      <c r="A97" t="s">
        <v>304</v>
      </c>
      <c r="B97" t="s">
        <v>305</v>
      </c>
      <c r="C97">
        <v>48</v>
      </c>
      <c r="D97">
        <v>57758</v>
      </c>
      <c r="E97" s="1">
        <v>45355</v>
      </c>
      <c r="F97" t="s">
        <v>306</v>
      </c>
      <c r="G97">
        <v>7435597779</v>
      </c>
      <c r="H97" t="s">
        <v>70</v>
      </c>
      <c r="I97" t="s">
        <v>15</v>
      </c>
      <c r="J97" t="s">
        <v>16</v>
      </c>
      <c r="K97">
        <v>2.1</v>
      </c>
      <c r="L97" s="2">
        <f>IF(LEN(Table1[[#This Row],[phone]]) = 10, Table1[[#This Row],[phone]],"Not Available")</f>
        <v>7435597779</v>
      </c>
    </row>
    <row r="98" spans="1:12" x14ac:dyDescent="0.25">
      <c r="A98" t="s">
        <v>307</v>
      </c>
      <c r="B98" t="s">
        <v>308</v>
      </c>
      <c r="C98">
        <v>48</v>
      </c>
      <c r="D98">
        <v>294655</v>
      </c>
      <c r="E98" s="1">
        <v>44236</v>
      </c>
      <c r="F98" t="s">
        <v>309</v>
      </c>
      <c r="G98">
        <v>7651541566</v>
      </c>
      <c r="H98" t="s">
        <v>20</v>
      </c>
      <c r="I98" t="s">
        <v>15</v>
      </c>
      <c r="J98" t="s">
        <v>21</v>
      </c>
      <c r="K98">
        <v>2.7</v>
      </c>
      <c r="L98" s="2">
        <f>IF(LEN(Table1[[#This Row],[phone]]) = 10, Table1[[#This Row],[phone]],"Not Available")</f>
        <v>7651541566</v>
      </c>
    </row>
    <row r="99" spans="1:12" x14ac:dyDescent="0.25">
      <c r="A99" t="s">
        <v>310</v>
      </c>
      <c r="B99" t="s">
        <v>311</v>
      </c>
      <c r="C99">
        <v>25</v>
      </c>
      <c r="D99">
        <v>50188</v>
      </c>
      <c r="E99" s="1">
        <v>44140</v>
      </c>
      <c r="F99" t="s">
        <v>312</v>
      </c>
      <c r="G99">
        <v>7930305808</v>
      </c>
      <c r="H99" t="s">
        <v>20</v>
      </c>
      <c r="I99" t="s">
        <v>15</v>
      </c>
      <c r="J99" t="s">
        <v>21</v>
      </c>
      <c r="K99">
        <v>7</v>
      </c>
      <c r="L99" s="2">
        <f>IF(LEN(Table1[[#This Row],[phone]]) = 10, Table1[[#This Row],[phone]],"Not Available")</f>
        <v>7930305808</v>
      </c>
    </row>
    <row r="100" spans="1:12" x14ac:dyDescent="0.25">
      <c r="A100" t="s">
        <v>313</v>
      </c>
      <c r="B100" t="s">
        <v>314</v>
      </c>
      <c r="C100">
        <v>48</v>
      </c>
      <c r="D100">
        <v>340155</v>
      </c>
      <c r="E100" s="1">
        <v>43339</v>
      </c>
      <c r="F100" t="s">
        <v>315</v>
      </c>
      <c r="G100">
        <v>2889061802</v>
      </c>
      <c r="H100" t="s">
        <v>20</v>
      </c>
      <c r="I100" t="s">
        <v>25</v>
      </c>
      <c r="J100" t="s">
        <v>16</v>
      </c>
      <c r="K100">
        <v>7</v>
      </c>
      <c r="L100" s="2">
        <f>IF(LEN(Table1[[#This Row],[phone]]) = 10, Table1[[#This Row],[phone]],"Not Available")</f>
        <v>2889061802</v>
      </c>
    </row>
    <row r="101" spans="1:12" x14ac:dyDescent="0.25">
      <c r="A101" t="s">
        <v>316</v>
      </c>
      <c r="B101" t="s">
        <v>317</v>
      </c>
      <c r="C101">
        <v>25</v>
      </c>
      <c r="D101">
        <v>463964</v>
      </c>
      <c r="E101" s="1">
        <v>44984</v>
      </c>
      <c r="F101" t="s">
        <v>318</v>
      </c>
      <c r="G101">
        <v>2105029179</v>
      </c>
      <c r="H101" t="s">
        <v>20</v>
      </c>
      <c r="I101" t="s">
        <v>25</v>
      </c>
      <c r="J101" t="s">
        <v>16</v>
      </c>
      <c r="K101">
        <v>2.7</v>
      </c>
      <c r="L101" s="2">
        <f>IF(LEN(Table1[[#This Row],[phone]]) = 10, Table1[[#This Row],[phone]],"Not Available")</f>
        <v>2105029179</v>
      </c>
    </row>
    <row r="102" spans="1:12" x14ac:dyDescent="0.25">
      <c r="A102" t="s">
        <v>319</v>
      </c>
      <c r="B102" t="s">
        <v>320</v>
      </c>
      <c r="C102">
        <v>69</v>
      </c>
      <c r="D102">
        <v>110059</v>
      </c>
      <c r="E102" s="1">
        <v>43541</v>
      </c>
      <c r="F102" t="s">
        <v>321</v>
      </c>
      <c r="G102">
        <v>3779287138</v>
      </c>
      <c r="H102" t="s">
        <v>70</v>
      </c>
      <c r="I102" t="s">
        <v>15</v>
      </c>
      <c r="J102" t="s">
        <v>16</v>
      </c>
      <c r="K102">
        <v>7</v>
      </c>
      <c r="L102" s="2">
        <f>IF(LEN(Table1[[#This Row],[phone]]) = 10, Table1[[#This Row],[phone]],"Not Available")</f>
        <v>3779287138</v>
      </c>
    </row>
    <row r="103" spans="1:12" x14ac:dyDescent="0.25">
      <c r="A103" t="s">
        <v>322</v>
      </c>
      <c r="B103" t="s">
        <v>323</v>
      </c>
      <c r="C103">
        <v>48</v>
      </c>
      <c r="D103">
        <v>5000</v>
      </c>
      <c r="E103" s="1">
        <v>42379</v>
      </c>
      <c r="F103" t="s">
        <v>324</v>
      </c>
      <c r="G103">
        <v>3628909096</v>
      </c>
      <c r="H103" t="s">
        <v>33</v>
      </c>
      <c r="I103" t="s">
        <v>15</v>
      </c>
      <c r="J103" t="s">
        <v>21</v>
      </c>
      <c r="K103">
        <v>7</v>
      </c>
      <c r="L103" s="2">
        <f>IF(LEN(Table1[[#This Row],[phone]]) = 10, Table1[[#This Row],[phone]],"Not Available")</f>
        <v>3628909096</v>
      </c>
    </row>
    <row r="104" spans="1:12" x14ac:dyDescent="0.25">
      <c r="A104" t="s">
        <v>325</v>
      </c>
      <c r="B104" t="s">
        <v>326</v>
      </c>
      <c r="C104">
        <v>25</v>
      </c>
      <c r="D104">
        <v>5000</v>
      </c>
      <c r="E104" s="1">
        <v>44280</v>
      </c>
      <c r="F104" t="s">
        <v>327</v>
      </c>
      <c r="G104">
        <v>2574167333</v>
      </c>
      <c r="H104" t="s">
        <v>65</v>
      </c>
      <c r="I104" t="s">
        <v>15</v>
      </c>
      <c r="J104" t="s">
        <v>16</v>
      </c>
      <c r="K104">
        <v>-2</v>
      </c>
      <c r="L104" s="2">
        <f>IF(LEN(Table1[[#This Row],[phone]]) = 10, Table1[[#This Row],[phone]],"Not Available")</f>
        <v>2574167333</v>
      </c>
    </row>
    <row r="105" spans="1:12" x14ac:dyDescent="0.25">
      <c r="A105" t="s">
        <v>328</v>
      </c>
      <c r="B105" t="s">
        <v>329</v>
      </c>
      <c r="C105">
        <v>73</v>
      </c>
      <c r="D105">
        <v>5000</v>
      </c>
      <c r="E105" s="1">
        <v>44726</v>
      </c>
      <c r="F105" t="s">
        <v>330</v>
      </c>
      <c r="G105">
        <v>9704471694</v>
      </c>
      <c r="H105" t="s">
        <v>20</v>
      </c>
      <c r="I105" t="s">
        <v>37</v>
      </c>
      <c r="J105" t="s">
        <v>21</v>
      </c>
      <c r="K105">
        <v>-2</v>
      </c>
      <c r="L105" s="2">
        <f>IF(LEN(Table1[[#This Row],[phone]]) = 10, Table1[[#This Row],[phone]],"Not Available")</f>
        <v>9704471694</v>
      </c>
    </row>
    <row r="106" spans="1:12" x14ac:dyDescent="0.25">
      <c r="A106" t="s">
        <v>331</v>
      </c>
      <c r="B106" t="s">
        <v>332</v>
      </c>
      <c r="C106">
        <v>48</v>
      </c>
      <c r="D106">
        <v>470990</v>
      </c>
      <c r="E106" s="1">
        <v>44756</v>
      </c>
      <c r="F106" t="s">
        <v>333</v>
      </c>
      <c r="G106">
        <v>7875997570</v>
      </c>
      <c r="H106" t="s">
        <v>20</v>
      </c>
      <c r="I106" t="s">
        <v>37</v>
      </c>
      <c r="J106" t="s">
        <v>21</v>
      </c>
      <c r="K106">
        <v>-2</v>
      </c>
      <c r="L106" s="2">
        <f>IF(LEN(Table1[[#This Row],[phone]]) = 10, Table1[[#This Row],[phone]],"Not Available")</f>
        <v>7875997570</v>
      </c>
    </row>
    <row r="107" spans="1:12" x14ac:dyDescent="0.25">
      <c r="A107" t="s">
        <v>334</v>
      </c>
      <c r="B107" t="s">
        <v>335</v>
      </c>
      <c r="C107">
        <v>25</v>
      </c>
      <c r="D107">
        <v>143886</v>
      </c>
      <c r="E107" s="1">
        <v>42838</v>
      </c>
      <c r="F107" t="s">
        <v>336</v>
      </c>
      <c r="G107">
        <v>1146821758</v>
      </c>
      <c r="H107" t="s">
        <v>33</v>
      </c>
      <c r="I107" t="s">
        <v>37</v>
      </c>
      <c r="J107" t="s">
        <v>16</v>
      </c>
      <c r="K107">
        <v>2.7</v>
      </c>
      <c r="L107" s="2">
        <f>IF(LEN(Table1[[#This Row],[phone]]) = 10, Table1[[#This Row],[phone]],"Not Available")</f>
        <v>1146821758</v>
      </c>
    </row>
    <row r="108" spans="1:12" x14ac:dyDescent="0.25">
      <c r="A108" t="s">
        <v>337</v>
      </c>
      <c r="B108" t="s">
        <v>338</v>
      </c>
      <c r="C108">
        <v>21</v>
      </c>
      <c r="D108">
        <v>143886</v>
      </c>
      <c r="E108" s="1">
        <v>44534</v>
      </c>
      <c r="F108" t="s">
        <v>339</v>
      </c>
      <c r="G108">
        <v>5909181794</v>
      </c>
      <c r="H108" t="s">
        <v>20</v>
      </c>
      <c r="I108" t="s">
        <v>15</v>
      </c>
      <c r="J108" t="s">
        <v>16</v>
      </c>
      <c r="K108">
        <v>7</v>
      </c>
      <c r="L108" s="2">
        <f>IF(LEN(Table1[[#This Row],[phone]]) = 10, Table1[[#This Row],[phone]],"Not Available")</f>
        <v>5909181794</v>
      </c>
    </row>
    <row r="109" spans="1:12" x14ac:dyDescent="0.25">
      <c r="A109" t="s">
        <v>340</v>
      </c>
      <c r="B109" t="s">
        <v>341</v>
      </c>
      <c r="C109">
        <v>25</v>
      </c>
      <c r="D109">
        <v>143886</v>
      </c>
      <c r="E109" s="1">
        <v>43885</v>
      </c>
      <c r="F109" t="s">
        <v>342</v>
      </c>
      <c r="G109">
        <v>9999678362</v>
      </c>
      <c r="H109" t="s">
        <v>20</v>
      </c>
      <c r="I109" t="s">
        <v>15</v>
      </c>
      <c r="J109" t="s">
        <v>16</v>
      </c>
      <c r="K109">
        <v>-2</v>
      </c>
      <c r="L109" s="2">
        <f>IF(LEN(Table1[[#This Row],[phone]]) = 10, Table1[[#This Row],[phone]],"Not Available")</f>
        <v>9999678362</v>
      </c>
    </row>
    <row r="110" spans="1:12" x14ac:dyDescent="0.25">
      <c r="A110" t="s">
        <v>343</v>
      </c>
      <c r="B110" t="s">
        <v>344</v>
      </c>
      <c r="C110">
        <v>48</v>
      </c>
      <c r="D110">
        <v>5000</v>
      </c>
      <c r="E110" s="1">
        <v>45332</v>
      </c>
      <c r="F110" t="s">
        <v>345</v>
      </c>
      <c r="G110">
        <v>6593008544</v>
      </c>
      <c r="H110" t="s">
        <v>20</v>
      </c>
      <c r="I110" t="s">
        <v>15</v>
      </c>
      <c r="J110" t="s">
        <v>16</v>
      </c>
      <c r="K110">
        <v>7</v>
      </c>
      <c r="L110" s="2">
        <f>IF(LEN(Table1[[#This Row],[phone]]) = 10, Table1[[#This Row],[phone]],"Not Available")</f>
        <v>6593008544</v>
      </c>
    </row>
    <row r="111" spans="1:12" x14ac:dyDescent="0.25">
      <c r="A111" t="s">
        <v>346</v>
      </c>
      <c r="B111" t="s">
        <v>347</v>
      </c>
      <c r="C111">
        <v>56</v>
      </c>
      <c r="D111">
        <v>5000</v>
      </c>
      <c r="E111" s="1">
        <v>44000</v>
      </c>
      <c r="F111" t="s">
        <v>348</v>
      </c>
      <c r="G111">
        <v>4531078162</v>
      </c>
      <c r="H111" t="s">
        <v>20</v>
      </c>
      <c r="I111" t="s">
        <v>25</v>
      </c>
      <c r="J111" t="s">
        <v>21</v>
      </c>
      <c r="K111">
        <v>4.8</v>
      </c>
      <c r="L111" s="2">
        <f>IF(LEN(Table1[[#This Row],[phone]]) = 10, Table1[[#This Row],[phone]],"Not Available")</f>
        <v>4531078162</v>
      </c>
    </row>
    <row r="112" spans="1:12" x14ac:dyDescent="0.25">
      <c r="A112" t="s">
        <v>349</v>
      </c>
      <c r="B112" t="s">
        <v>350</v>
      </c>
      <c r="C112">
        <v>48</v>
      </c>
      <c r="D112">
        <v>421429</v>
      </c>
      <c r="E112" s="1">
        <v>45535</v>
      </c>
      <c r="F112" t="s">
        <v>351</v>
      </c>
      <c r="G112">
        <v>8187875838</v>
      </c>
      <c r="H112" t="s">
        <v>65</v>
      </c>
      <c r="I112" t="s">
        <v>37</v>
      </c>
      <c r="J112" t="s">
        <v>16</v>
      </c>
      <c r="K112">
        <v>7</v>
      </c>
      <c r="L112" s="2">
        <f>IF(LEN(Table1[[#This Row],[phone]]) = 10, Table1[[#This Row],[phone]],"Not Available")</f>
        <v>8187875838</v>
      </c>
    </row>
    <row r="113" spans="1:12" x14ac:dyDescent="0.25">
      <c r="A113" t="s">
        <v>352</v>
      </c>
      <c r="B113" t="s">
        <v>353</v>
      </c>
      <c r="C113">
        <v>61</v>
      </c>
      <c r="D113">
        <v>354411</v>
      </c>
      <c r="E113" s="1">
        <v>45656</v>
      </c>
      <c r="F113" t="s">
        <v>354</v>
      </c>
      <c r="G113">
        <v>4456967373</v>
      </c>
      <c r="H113" t="s">
        <v>20</v>
      </c>
      <c r="I113" t="s">
        <v>66</v>
      </c>
      <c r="J113" t="s">
        <v>21</v>
      </c>
      <c r="K113">
        <v>-2</v>
      </c>
      <c r="L113" s="2">
        <f>IF(LEN(Table1[[#This Row],[phone]]) = 10, Table1[[#This Row],[phone]],"Not Available")</f>
        <v>4456967373</v>
      </c>
    </row>
    <row r="114" spans="1:12" x14ac:dyDescent="0.25">
      <c r="A114" t="s">
        <v>355</v>
      </c>
      <c r="B114" t="s">
        <v>356</v>
      </c>
      <c r="C114">
        <v>25</v>
      </c>
      <c r="D114">
        <v>5000</v>
      </c>
      <c r="E114" s="1">
        <v>44104</v>
      </c>
      <c r="F114" t="s">
        <v>357</v>
      </c>
      <c r="G114">
        <v>3918590093</v>
      </c>
      <c r="H114" t="s">
        <v>20</v>
      </c>
      <c r="I114" t="s">
        <v>29</v>
      </c>
      <c r="J114" t="s">
        <v>21</v>
      </c>
      <c r="K114">
        <v>2.7</v>
      </c>
      <c r="L114" s="2">
        <f>IF(LEN(Table1[[#This Row],[phone]]) = 10, Table1[[#This Row],[phone]],"Not Available")</f>
        <v>3918590093</v>
      </c>
    </row>
    <row r="115" spans="1:12" x14ac:dyDescent="0.25">
      <c r="A115" t="s">
        <v>358</v>
      </c>
      <c r="B115" t="s">
        <v>359</v>
      </c>
      <c r="C115">
        <v>25</v>
      </c>
      <c r="D115">
        <v>138657</v>
      </c>
      <c r="E115" s="1">
        <v>43039</v>
      </c>
      <c r="F115" t="s">
        <v>69</v>
      </c>
      <c r="G115">
        <v>5790681813</v>
      </c>
      <c r="H115" t="s">
        <v>70</v>
      </c>
      <c r="I115" t="s">
        <v>15</v>
      </c>
      <c r="J115" t="s">
        <v>16</v>
      </c>
      <c r="K115">
        <v>-2</v>
      </c>
      <c r="L115" s="2">
        <f>IF(LEN(Table1[[#This Row],[phone]]) = 10, Table1[[#This Row],[phone]],"Not Available")</f>
        <v>5790681813</v>
      </c>
    </row>
    <row r="116" spans="1:12" x14ac:dyDescent="0.25">
      <c r="A116" t="s">
        <v>360</v>
      </c>
      <c r="B116" t="s">
        <v>361</v>
      </c>
      <c r="C116">
        <v>25</v>
      </c>
      <c r="D116">
        <v>143886</v>
      </c>
      <c r="E116" s="1">
        <v>43385</v>
      </c>
      <c r="F116" t="s">
        <v>362</v>
      </c>
      <c r="G116">
        <v>4094838284</v>
      </c>
      <c r="H116" t="s">
        <v>14</v>
      </c>
      <c r="I116" t="s">
        <v>66</v>
      </c>
      <c r="J116" t="s">
        <v>16</v>
      </c>
      <c r="K116">
        <v>4.3</v>
      </c>
      <c r="L116" s="2">
        <f>IF(LEN(Table1[[#This Row],[phone]]) = 10, Table1[[#This Row],[phone]],"Not Available")</f>
        <v>4094838284</v>
      </c>
    </row>
    <row r="117" spans="1:12" x14ac:dyDescent="0.25">
      <c r="A117" t="s">
        <v>363</v>
      </c>
      <c r="B117" t="s">
        <v>364</v>
      </c>
      <c r="C117">
        <v>53</v>
      </c>
      <c r="D117">
        <v>102777</v>
      </c>
      <c r="E117" s="1">
        <v>42994</v>
      </c>
      <c r="F117" t="s">
        <v>365</v>
      </c>
      <c r="G117">
        <v>214618847</v>
      </c>
      <c r="H117" t="s">
        <v>33</v>
      </c>
      <c r="I117" t="s">
        <v>15</v>
      </c>
      <c r="J117" t="s">
        <v>16</v>
      </c>
      <c r="K117">
        <v>-2</v>
      </c>
      <c r="L117" s="2" t="str">
        <f>IF(LEN(Table1[[#This Row],[phone]]) = 10, Table1[[#This Row],[phone]],"Not Available")</f>
        <v>Not Available</v>
      </c>
    </row>
    <row r="118" spans="1:12" x14ac:dyDescent="0.25">
      <c r="A118" t="s">
        <v>366</v>
      </c>
      <c r="B118" t="s">
        <v>367</v>
      </c>
      <c r="C118">
        <v>54</v>
      </c>
      <c r="D118">
        <v>43316</v>
      </c>
      <c r="E118" s="1">
        <v>44019</v>
      </c>
      <c r="F118" t="s">
        <v>368</v>
      </c>
      <c r="G118">
        <v>7069733543</v>
      </c>
      <c r="H118" t="s">
        <v>33</v>
      </c>
      <c r="I118" t="s">
        <v>66</v>
      </c>
      <c r="J118" t="s">
        <v>21</v>
      </c>
      <c r="K118">
        <v>-2</v>
      </c>
      <c r="L118" s="2">
        <f>IF(LEN(Table1[[#This Row],[phone]]) = 10, Table1[[#This Row],[phone]],"Not Available")</f>
        <v>7069733543</v>
      </c>
    </row>
    <row r="119" spans="1:12" x14ac:dyDescent="0.25">
      <c r="A119" t="s">
        <v>369</v>
      </c>
      <c r="B119" t="s">
        <v>370</v>
      </c>
      <c r="C119">
        <v>77</v>
      </c>
      <c r="D119">
        <v>26980</v>
      </c>
      <c r="E119" s="1">
        <v>44656</v>
      </c>
      <c r="F119" t="s">
        <v>371</v>
      </c>
      <c r="G119">
        <v>6235661492</v>
      </c>
      <c r="H119" t="s">
        <v>20</v>
      </c>
      <c r="I119" t="s">
        <v>15</v>
      </c>
      <c r="J119" t="s">
        <v>16</v>
      </c>
      <c r="K119">
        <v>-2</v>
      </c>
      <c r="L119" s="2">
        <f>IF(LEN(Table1[[#This Row],[phone]]) = 10, Table1[[#This Row],[phone]],"Not Available")</f>
        <v>6235661492</v>
      </c>
    </row>
    <row r="120" spans="1:12" x14ac:dyDescent="0.25">
      <c r="A120" t="s">
        <v>372</v>
      </c>
      <c r="B120" t="s">
        <v>373</v>
      </c>
      <c r="C120">
        <v>60</v>
      </c>
      <c r="D120">
        <v>143886</v>
      </c>
      <c r="E120" s="1">
        <v>45575</v>
      </c>
      <c r="F120" t="s">
        <v>374</v>
      </c>
      <c r="G120">
        <v>402158534</v>
      </c>
      <c r="H120" t="s">
        <v>20</v>
      </c>
      <c r="I120" t="s">
        <v>66</v>
      </c>
      <c r="J120" t="s">
        <v>16</v>
      </c>
      <c r="K120">
        <v>1.4</v>
      </c>
      <c r="L120" s="2" t="str">
        <f>IF(LEN(Table1[[#This Row],[phone]]) = 10, Table1[[#This Row],[phone]],"Not Available")</f>
        <v>Not Available</v>
      </c>
    </row>
    <row r="121" spans="1:12" x14ac:dyDescent="0.25">
      <c r="A121" t="s">
        <v>375</v>
      </c>
      <c r="B121" t="s">
        <v>376</v>
      </c>
      <c r="C121">
        <v>25</v>
      </c>
      <c r="D121">
        <v>92116</v>
      </c>
      <c r="E121" s="1">
        <v>45773</v>
      </c>
      <c r="F121" t="s">
        <v>377</v>
      </c>
      <c r="G121">
        <v>4497129939</v>
      </c>
      <c r="H121" t="s">
        <v>20</v>
      </c>
      <c r="I121" t="s">
        <v>66</v>
      </c>
      <c r="J121" t="s">
        <v>21</v>
      </c>
      <c r="K121">
        <v>2.6</v>
      </c>
      <c r="L121" s="2">
        <f>IF(LEN(Table1[[#This Row],[phone]]) = 10, Table1[[#This Row],[phone]],"Not Available")</f>
        <v>4497129939</v>
      </c>
    </row>
    <row r="122" spans="1:12" x14ac:dyDescent="0.25">
      <c r="A122" t="s">
        <v>378</v>
      </c>
      <c r="B122" t="s">
        <v>379</v>
      </c>
      <c r="C122">
        <v>48</v>
      </c>
      <c r="D122">
        <v>143886</v>
      </c>
      <c r="E122" s="1">
        <v>45964</v>
      </c>
      <c r="F122" t="s">
        <v>380</v>
      </c>
      <c r="G122">
        <v>9725852632</v>
      </c>
      <c r="H122" t="s">
        <v>33</v>
      </c>
      <c r="I122" t="s">
        <v>66</v>
      </c>
      <c r="J122" t="s">
        <v>16</v>
      </c>
      <c r="K122">
        <v>-2</v>
      </c>
      <c r="L122" s="2">
        <f>IF(LEN(Table1[[#This Row],[phone]]) = 10, Table1[[#This Row],[phone]],"Not Available")</f>
        <v>9725852632</v>
      </c>
    </row>
    <row r="123" spans="1:12" x14ac:dyDescent="0.25">
      <c r="A123" t="s">
        <v>381</v>
      </c>
      <c r="B123" t="s">
        <v>382</v>
      </c>
      <c r="C123">
        <v>25</v>
      </c>
      <c r="D123">
        <v>451769</v>
      </c>
      <c r="E123" s="1">
        <v>43784</v>
      </c>
      <c r="F123" t="s">
        <v>383</v>
      </c>
      <c r="G123">
        <v>9410571150</v>
      </c>
      <c r="H123" t="s">
        <v>20</v>
      </c>
      <c r="I123" t="s">
        <v>15</v>
      </c>
      <c r="J123" t="s">
        <v>16</v>
      </c>
      <c r="K123">
        <v>7</v>
      </c>
      <c r="L123" s="2">
        <f>IF(LEN(Table1[[#This Row],[phone]]) = 10, Table1[[#This Row],[phone]],"Not Available")</f>
        <v>9410571150</v>
      </c>
    </row>
    <row r="124" spans="1:12" x14ac:dyDescent="0.25">
      <c r="A124" t="s">
        <v>384</v>
      </c>
      <c r="B124" t="s">
        <v>385</v>
      </c>
      <c r="C124">
        <v>48</v>
      </c>
      <c r="D124">
        <v>248105</v>
      </c>
      <c r="E124" s="1">
        <v>45496</v>
      </c>
      <c r="F124" t="s">
        <v>386</v>
      </c>
      <c r="G124">
        <v>3624636362</v>
      </c>
      <c r="H124" t="s">
        <v>20</v>
      </c>
      <c r="I124" t="s">
        <v>15</v>
      </c>
      <c r="J124" t="s">
        <v>21</v>
      </c>
      <c r="K124">
        <v>2.7</v>
      </c>
      <c r="L124" s="2">
        <f>IF(LEN(Table1[[#This Row],[phone]]) = 10, Table1[[#This Row],[phone]],"Not Available")</f>
        <v>3624636362</v>
      </c>
    </row>
    <row r="125" spans="1:12" x14ac:dyDescent="0.25">
      <c r="A125" t="s">
        <v>387</v>
      </c>
      <c r="B125" t="s">
        <v>388</v>
      </c>
      <c r="C125">
        <v>48</v>
      </c>
      <c r="D125">
        <v>143886</v>
      </c>
      <c r="E125" s="1">
        <v>43815</v>
      </c>
      <c r="F125" t="s">
        <v>389</v>
      </c>
      <c r="G125">
        <v>4757853119</v>
      </c>
      <c r="H125" t="s">
        <v>65</v>
      </c>
      <c r="I125" t="s">
        <v>15</v>
      </c>
      <c r="J125" t="s">
        <v>21</v>
      </c>
      <c r="K125">
        <v>-2</v>
      </c>
      <c r="L125" s="2">
        <f>IF(LEN(Table1[[#This Row],[phone]]) = 10, Table1[[#This Row],[phone]],"Not Available")</f>
        <v>4757853119</v>
      </c>
    </row>
    <row r="126" spans="1:12" x14ac:dyDescent="0.25">
      <c r="A126" t="s">
        <v>390</v>
      </c>
      <c r="B126" t="s">
        <v>391</v>
      </c>
      <c r="C126">
        <v>56</v>
      </c>
      <c r="D126">
        <v>143886</v>
      </c>
      <c r="E126" s="1">
        <v>43126</v>
      </c>
      <c r="F126" t="s">
        <v>392</v>
      </c>
      <c r="G126">
        <v>7309693370</v>
      </c>
      <c r="H126" t="s">
        <v>20</v>
      </c>
      <c r="I126" t="s">
        <v>15</v>
      </c>
      <c r="J126" t="s">
        <v>21</v>
      </c>
      <c r="K126">
        <v>1.4</v>
      </c>
      <c r="L126" s="2">
        <f>IF(LEN(Table1[[#This Row],[phone]]) = 10, Table1[[#This Row],[phone]],"Not Available")</f>
        <v>7309693370</v>
      </c>
    </row>
    <row r="127" spans="1:12" x14ac:dyDescent="0.25">
      <c r="A127" t="s">
        <v>393</v>
      </c>
      <c r="B127" t="s">
        <v>394</v>
      </c>
      <c r="C127">
        <v>75</v>
      </c>
      <c r="D127">
        <v>5000</v>
      </c>
      <c r="E127" s="1">
        <v>42686</v>
      </c>
      <c r="F127" t="s">
        <v>395</v>
      </c>
      <c r="G127">
        <v>9558287358</v>
      </c>
      <c r="H127" t="s">
        <v>33</v>
      </c>
      <c r="I127" t="s">
        <v>37</v>
      </c>
      <c r="J127" t="s">
        <v>16</v>
      </c>
      <c r="K127">
        <v>7</v>
      </c>
      <c r="L127" s="2">
        <f>IF(LEN(Table1[[#This Row],[phone]]) = 10, Table1[[#This Row],[phone]],"Not Available")</f>
        <v>9558287358</v>
      </c>
    </row>
    <row r="128" spans="1:12" x14ac:dyDescent="0.25">
      <c r="A128" t="s">
        <v>396</v>
      </c>
      <c r="B128" t="s">
        <v>397</v>
      </c>
      <c r="C128">
        <v>48</v>
      </c>
      <c r="D128">
        <v>61458</v>
      </c>
      <c r="E128" s="1">
        <v>45663</v>
      </c>
      <c r="F128" t="s">
        <v>398</v>
      </c>
      <c r="G128">
        <v>2570917431</v>
      </c>
      <c r="H128" t="s">
        <v>14</v>
      </c>
      <c r="I128" t="s">
        <v>15</v>
      </c>
      <c r="J128" t="s">
        <v>21</v>
      </c>
      <c r="K128">
        <v>7</v>
      </c>
      <c r="L128" s="2">
        <f>IF(LEN(Table1[[#This Row],[phone]]) = 10, Table1[[#This Row],[phone]],"Not Available")</f>
        <v>2570917431</v>
      </c>
    </row>
    <row r="129" spans="1:12" x14ac:dyDescent="0.25">
      <c r="A129" t="s">
        <v>399</v>
      </c>
      <c r="B129" t="s">
        <v>400</v>
      </c>
      <c r="C129">
        <v>48</v>
      </c>
      <c r="D129">
        <v>143886</v>
      </c>
      <c r="E129" s="1">
        <v>43107</v>
      </c>
      <c r="F129" t="s">
        <v>401</v>
      </c>
      <c r="G129">
        <v>6582604487</v>
      </c>
      <c r="H129" t="s">
        <v>33</v>
      </c>
      <c r="I129" t="s">
        <v>15</v>
      </c>
      <c r="J129" t="s">
        <v>16</v>
      </c>
      <c r="K129">
        <v>2.7</v>
      </c>
      <c r="L129" s="2">
        <f>IF(LEN(Table1[[#This Row],[phone]]) = 10, Table1[[#This Row],[phone]],"Not Available")</f>
        <v>6582604487</v>
      </c>
    </row>
    <row r="130" spans="1:12" x14ac:dyDescent="0.25">
      <c r="A130" t="s">
        <v>402</v>
      </c>
      <c r="B130" t="s">
        <v>403</v>
      </c>
      <c r="C130">
        <v>81</v>
      </c>
      <c r="D130">
        <v>5000</v>
      </c>
      <c r="E130" s="1">
        <v>45850</v>
      </c>
      <c r="F130" t="s">
        <v>404</v>
      </c>
      <c r="G130">
        <v>896170784</v>
      </c>
      <c r="H130" t="s">
        <v>70</v>
      </c>
      <c r="I130" t="s">
        <v>15</v>
      </c>
      <c r="J130" t="s">
        <v>16</v>
      </c>
      <c r="K130">
        <v>2.7</v>
      </c>
      <c r="L130" s="2" t="str">
        <f>IF(LEN(Table1[[#This Row],[phone]]) = 10, Table1[[#This Row],[phone]],"Not Available")</f>
        <v>Not Available</v>
      </c>
    </row>
    <row r="131" spans="1:12" x14ac:dyDescent="0.25">
      <c r="A131" t="s">
        <v>405</v>
      </c>
      <c r="B131" t="s">
        <v>406</v>
      </c>
      <c r="C131">
        <v>48</v>
      </c>
      <c r="D131">
        <v>351182</v>
      </c>
      <c r="E131" s="1">
        <v>44847</v>
      </c>
      <c r="F131" t="s">
        <v>407</v>
      </c>
      <c r="G131">
        <v>406750483</v>
      </c>
      <c r="H131" t="s">
        <v>65</v>
      </c>
      <c r="I131" t="s">
        <v>29</v>
      </c>
      <c r="J131" t="s">
        <v>16</v>
      </c>
      <c r="K131">
        <v>7</v>
      </c>
      <c r="L131" s="2" t="str">
        <f>IF(LEN(Table1[[#This Row],[phone]]) = 10, Table1[[#This Row],[phone]],"Not Available")</f>
        <v>Not Available</v>
      </c>
    </row>
    <row r="132" spans="1:12" x14ac:dyDescent="0.25">
      <c r="A132" t="s">
        <v>408</v>
      </c>
      <c r="B132" t="s">
        <v>409</v>
      </c>
      <c r="C132">
        <v>48</v>
      </c>
      <c r="D132">
        <v>326903</v>
      </c>
      <c r="E132" s="1">
        <v>45108</v>
      </c>
      <c r="F132" t="s">
        <v>410</v>
      </c>
      <c r="G132">
        <v>2036384493</v>
      </c>
      <c r="H132" t="s">
        <v>20</v>
      </c>
      <c r="I132" t="s">
        <v>15</v>
      </c>
      <c r="J132" t="s">
        <v>21</v>
      </c>
      <c r="K132">
        <v>7</v>
      </c>
      <c r="L132" s="2">
        <f>IF(LEN(Table1[[#This Row],[phone]]) = 10, Table1[[#This Row],[phone]],"Not Available")</f>
        <v>2036384493</v>
      </c>
    </row>
    <row r="133" spans="1:12" x14ac:dyDescent="0.25">
      <c r="A133" t="s">
        <v>411</v>
      </c>
      <c r="B133" t="s">
        <v>412</v>
      </c>
      <c r="C133">
        <v>25</v>
      </c>
      <c r="D133">
        <v>5000</v>
      </c>
      <c r="E133" s="1">
        <v>42838</v>
      </c>
      <c r="F133" t="s">
        <v>413</v>
      </c>
      <c r="G133">
        <v>7345078122</v>
      </c>
      <c r="H133" t="s">
        <v>14</v>
      </c>
      <c r="I133" t="s">
        <v>29</v>
      </c>
      <c r="J133" t="s">
        <v>16</v>
      </c>
      <c r="K133">
        <v>2.7</v>
      </c>
      <c r="L133" s="2">
        <f>IF(LEN(Table1[[#This Row],[phone]]) = 10, Table1[[#This Row],[phone]],"Not Available")</f>
        <v>7345078122</v>
      </c>
    </row>
    <row r="134" spans="1:12" x14ac:dyDescent="0.25">
      <c r="A134" t="s">
        <v>414</v>
      </c>
      <c r="B134" t="s">
        <v>415</v>
      </c>
      <c r="C134">
        <v>23</v>
      </c>
      <c r="D134">
        <v>5000</v>
      </c>
      <c r="E134" s="1">
        <v>43311</v>
      </c>
      <c r="F134" t="s">
        <v>416</v>
      </c>
      <c r="G134">
        <v>5393303978</v>
      </c>
      <c r="H134" t="s">
        <v>14</v>
      </c>
      <c r="I134" t="s">
        <v>15</v>
      </c>
      <c r="J134" t="s">
        <v>21</v>
      </c>
      <c r="K134">
        <v>7</v>
      </c>
      <c r="L134" s="2">
        <f>IF(LEN(Table1[[#This Row],[phone]]) = 10, Table1[[#This Row],[phone]],"Not Available")</f>
        <v>5393303978</v>
      </c>
    </row>
    <row r="135" spans="1:12" x14ac:dyDescent="0.25">
      <c r="A135" t="s">
        <v>417</v>
      </c>
      <c r="B135" t="s">
        <v>418</v>
      </c>
      <c r="C135">
        <v>79</v>
      </c>
      <c r="D135">
        <v>143811</v>
      </c>
      <c r="E135" s="1">
        <v>44840</v>
      </c>
      <c r="F135" t="s">
        <v>419</v>
      </c>
      <c r="G135">
        <v>4271888647</v>
      </c>
      <c r="H135" t="s">
        <v>65</v>
      </c>
      <c r="I135" t="s">
        <v>15</v>
      </c>
      <c r="J135" t="s">
        <v>21</v>
      </c>
      <c r="K135">
        <v>7</v>
      </c>
      <c r="L135" s="2">
        <f>IF(LEN(Table1[[#This Row],[phone]]) = 10, Table1[[#This Row],[phone]],"Not Available")</f>
        <v>4271888647</v>
      </c>
    </row>
    <row r="136" spans="1:12" x14ac:dyDescent="0.25">
      <c r="A136" t="s">
        <v>420</v>
      </c>
      <c r="B136" t="s">
        <v>421</v>
      </c>
      <c r="C136">
        <v>48</v>
      </c>
      <c r="D136">
        <v>68772</v>
      </c>
      <c r="E136" s="1">
        <v>42799</v>
      </c>
      <c r="F136" t="s">
        <v>422</v>
      </c>
      <c r="G136">
        <v>5540586097</v>
      </c>
      <c r="H136" t="s">
        <v>65</v>
      </c>
      <c r="I136" t="s">
        <v>66</v>
      </c>
      <c r="J136" t="s">
        <v>16</v>
      </c>
      <c r="K136">
        <v>1</v>
      </c>
      <c r="L136" s="2">
        <f>IF(LEN(Table1[[#This Row],[phone]]) = 10, Table1[[#This Row],[phone]],"Not Available")</f>
        <v>5540586097</v>
      </c>
    </row>
    <row r="137" spans="1:12" x14ac:dyDescent="0.25">
      <c r="A137" t="s">
        <v>423</v>
      </c>
      <c r="B137" t="s">
        <v>424</v>
      </c>
      <c r="C137">
        <v>48</v>
      </c>
      <c r="D137">
        <v>438696</v>
      </c>
      <c r="E137" s="1">
        <v>45184</v>
      </c>
      <c r="F137" t="s">
        <v>425</v>
      </c>
      <c r="G137">
        <v>2959867227</v>
      </c>
      <c r="H137" t="s">
        <v>65</v>
      </c>
      <c r="I137" t="s">
        <v>15</v>
      </c>
      <c r="J137" t="s">
        <v>16</v>
      </c>
      <c r="K137">
        <v>4.5999999999999996</v>
      </c>
      <c r="L137" s="2">
        <f>IF(LEN(Table1[[#This Row],[phone]]) = 10, Table1[[#This Row],[phone]],"Not Available")</f>
        <v>2959867227</v>
      </c>
    </row>
    <row r="138" spans="1:12" x14ac:dyDescent="0.25">
      <c r="A138" t="s">
        <v>426</v>
      </c>
      <c r="B138" t="s">
        <v>427</v>
      </c>
      <c r="C138">
        <v>48</v>
      </c>
      <c r="D138">
        <v>143886</v>
      </c>
      <c r="E138" s="1">
        <v>43474</v>
      </c>
      <c r="F138" t="s">
        <v>428</v>
      </c>
      <c r="G138">
        <v>5031919205</v>
      </c>
      <c r="H138" t="s">
        <v>70</v>
      </c>
      <c r="I138" t="s">
        <v>37</v>
      </c>
      <c r="J138" t="s">
        <v>16</v>
      </c>
      <c r="K138">
        <v>2.4</v>
      </c>
      <c r="L138" s="2">
        <f>IF(LEN(Table1[[#This Row],[phone]]) = 10, Table1[[#This Row],[phone]],"Not Available")</f>
        <v>5031919205</v>
      </c>
    </row>
    <row r="139" spans="1:12" x14ac:dyDescent="0.25">
      <c r="A139" t="s">
        <v>429</v>
      </c>
      <c r="B139" t="s">
        <v>430</v>
      </c>
      <c r="C139">
        <v>32</v>
      </c>
      <c r="D139">
        <v>150380</v>
      </c>
      <c r="E139" s="1">
        <v>44628</v>
      </c>
      <c r="F139" t="s">
        <v>431</v>
      </c>
      <c r="G139">
        <v>4039302725</v>
      </c>
      <c r="H139" t="s">
        <v>20</v>
      </c>
      <c r="I139" t="s">
        <v>15</v>
      </c>
      <c r="J139" t="s">
        <v>16</v>
      </c>
      <c r="K139">
        <v>-2</v>
      </c>
      <c r="L139" s="2">
        <f>IF(LEN(Table1[[#This Row],[phone]]) = 10, Table1[[#This Row],[phone]],"Not Available")</f>
        <v>4039302725</v>
      </c>
    </row>
    <row r="140" spans="1:12" x14ac:dyDescent="0.25">
      <c r="A140" t="s">
        <v>432</v>
      </c>
      <c r="B140" t="s">
        <v>433</v>
      </c>
      <c r="C140">
        <v>64</v>
      </c>
      <c r="D140">
        <v>254739</v>
      </c>
      <c r="E140" s="1">
        <v>45245</v>
      </c>
      <c r="F140" t="s">
        <v>434</v>
      </c>
      <c r="G140">
        <v>2982871704</v>
      </c>
      <c r="H140" t="s">
        <v>20</v>
      </c>
      <c r="I140" t="s">
        <v>15</v>
      </c>
      <c r="J140" t="s">
        <v>16</v>
      </c>
      <c r="K140">
        <v>7</v>
      </c>
      <c r="L140" s="2">
        <f>IF(LEN(Table1[[#This Row],[phone]]) = 10, Table1[[#This Row],[phone]],"Not Available")</f>
        <v>2982871704</v>
      </c>
    </row>
    <row r="141" spans="1:12" x14ac:dyDescent="0.25">
      <c r="A141" t="s">
        <v>435</v>
      </c>
      <c r="B141" t="s">
        <v>436</v>
      </c>
      <c r="C141">
        <v>48</v>
      </c>
      <c r="D141">
        <v>31269</v>
      </c>
      <c r="E141" s="1">
        <v>42814</v>
      </c>
      <c r="F141" t="s">
        <v>437</v>
      </c>
      <c r="G141">
        <v>2888941494</v>
      </c>
      <c r="H141" t="s">
        <v>70</v>
      </c>
      <c r="I141" t="s">
        <v>15</v>
      </c>
      <c r="J141" t="s">
        <v>16</v>
      </c>
      <c r="K141">
        <v>7</v>
      </c>
      <c r="L141" s="2">
        <f>IF(LEN(Table1[[#This Row],[phone]]) = 10, Table1[[#This Row],[phone]],"Not Available")</f>
        <v>2888941494</v>
      </c>
    </row>
    <row r="142" spans="1:12" x14ac:dyDescent="0.25">
      <c r="A142" t="s">
        <v>438</v>
      </c>
      <c r="B142" t="s">
        <v>439</v>
      </c>
      <c r="C142">
        <v>48</v>
      </c>
      <c r="D142">
        <v>117219</v>
      </c>
      <c r="E142" s="1">
        <v>43628</v>
      </c>
      <c r="F142" t="s">
        <v>440</v>
      </c>
      <c r="G142">
        <v>6333457546</v>
      </c>
      <c r="H142" t="s">
        <v>33</v>
      </c>
      <c r="I142" t="s">
        <v>15</v>
      </c>
      <c r="J142" t="s">
        <v>16</v>
      </c>
      <c r="K142">
        <v>7</v>
      </c>
      <c r="L142" s="2">
        <f>IF(LEN(Table1[[#This Row],[phone]]) = 10, Table1[[#This Row],[phone]],"Not Available")</f>
        <v>6333457546</v>
      </c>
    </row>
    <row r="143" spans="1:12" x14ac:dyDescent="0.25">
      <c r="A143" t="s">
        <v>441</v>
      </c>
      <c r="B143" t="s">
        <v>442</v>
      </c>
      <c r="C143">
        <v>48</v>
      </c>
      <c r="D143">
        <v>144078</v>
      </c>
      <c r="E143" s="1">
        <v>44713</v>
      </c>
      <c r="F143" t="s">
        <v>443</v>
      </c>
      <c r="G143">
        <v>1073609043</v>
      </c>
      <c r="H143" t="s">
        <v>20</v>
      </c>
      <c r="I143" t="s">
        <v>15</v>
      </c>
      <c r="J143" t="s">
        <v>16</v>
      </c>
      <c r="K143">
        <v>-2</v>
      </c>
      <c r="L143" s="2">
        <f>IF(LEN(Table1[[#This Row],[phone]]) = 10, Table1[[#This Row],[phone]],"Not Available")</f>
        <v>1073609043</v>
      </c>
    </row>
    <row r="144" spans="1:12" x14ac:dyDescent="0.25">
      <c r="A144" t="s">
        <v>444</v>
      </c>
      <c r="B144" t="s">
        <v>445</v>
      </c>
      <c r="C144">
        <v>63</v>
      </c>
      <c r="D144">
        <v>143886</v>
      </c>
      <c r="E144" s="1">
        <v>43135</v>
      </c>
      <c r="F144" t="s">
        <v>446</v>
      </c>
      <c r="G144">
        <v>1571694318</v>
      </c>
      <c r="H144" t="s">
        <v>33</v>
      </c>
      <c r="I144" t="s">
        <v>66</v>
      </c>
      <c r="J144" t="s">
        <v>16</v>
      </c>
      <c r="K144">
        <v>2.7</v>
      </c>
      <c r="L144" s="2">
        <f>IF(LEN(Table1[[#This Row],[phone]]) = 10, Table1[[#This Row],[phone]],"Not Available")</f>
        <v>1571694318</v>
      </c>
    </row>
    <row r="145" spans="1:12" x14ac:dyDescent="0.25">
      <c r="A145" t="s">
        <v>447</v>
      </c>
      <c r="B145" t="s">
        <v>448</v>
      </c>
      <c r="C145">
        <v>48</v>
      </c>
      <c r="D145">
        <v>35527</v>
      </c>
      <c r="E145" s="1">
        <v>43418</v>
      </c>
      <c r="F145" t="s">
        <v>449</v>
      </c>
      <c r="G145">
        <v>1045939103</v>
      </c>
      <c r="H145" t="s">
        <v>65</v>
      </c>
      <c r="I145" t="s">
        <v>66</v>
      </c>
      <c r="J145" t="s">
        <v>21</v>
      </c>
      <c r="K145">
        <v>7</v>
      </c>
      <c r="L145" s="2">
        <f>IF(LEN(Table1[[#This Row],[phone]]) = 10, Table1[[#This Row],[phone]],"Not Available")</f>
        <v>1045939103</v>
      </c>
    </row>
    <row r="146" spans="1:12" x14ac:dyDescent="0.25">
      <c r="A146" t="s">
        <v>450</v>
      </c>
      <c r="B146" t="s">
        <v>451</v>
      </c>
      <c r="C146">
        <v>63</v>
      </c>
      <c r="D146">
        <v>112602</v>
      </c>
      <c r="E146" s="1">
        <v>46080</v>
      </c>
      <c r="F146" t="s">
        <v>452</v>
      </c>
      <c r="G146">
        <v>1218869458</v>
      </c>
      <c r="H146" t="s">
        <v>65</v>
      </c>
      <c r="I146" t="s">
        <v>66</v>
      </c>
      <c r="J146" t="s">
        <v>16</v>
      </c>
      <c r="K146">
        <v>4.5999999999999996</v>
      </c>
      <c r="L146" s="2">
        <f>IF(LEN(Table1[[#This Row],[phone]]) = 10, Table1[[#This Row],[phone]],"Not Available")</f>
        <v>1218869458</v>
      </c>
    </row>
    <row r="147" spans="1:12" x14ac:dyDescent="0.25">
      <c r="A147" t="s">
        <v>453</v>
      </c>
      <c r="B147" t="s">
        <v>454</v>
      </c>
      <c r="C147">
        <v>76</v>
      </c>
      <c r="D147">
        <v>69787</v>
      </c>
      <c r="E147" s="1">
        <v>46082</v>
      </c>
      <c r="F147" t="s">
        <v>455</v>
      </c>
      <c r="G147">
        <v>7324310251</v>
      </c>
      <c r="H147" t="s">
        <v>20</v>
      </c>
      <c r="I147" t="s">
        <v>15</v>
      </c>
      <c r="J147" t="s">
        <v>16</v>
      </c>
      <c r="K147">
        <v>2.1</v>
      </c>
      <c r="L147" s="2">
        <f>IF(LEN(Table1[[#This Row],[phone]]) = 10, Table1[[#This Row],[phone]],"Not Available")</f>
        <v>7324310251</v>
      </c>
    </row>
    <row r="148" spans="1:12" x14ac:dyDescent="0.25">
      <c r="A148" t="s">
        <v>456</v>
      </c>
      <c r="B148" t="s">
        <v>457</v>
      </c>
      <c r="C148">
        <v>48</v>
      </c>
      <c r="D148">
        <v>143886</v>
      </c>
      <c r="E148" s="1">
        <v>42601</v>
      </c>
      <c r="F148" t="s">
        <v>458</v>
      </c>
      <c r="G148">
        <v>3816377260</v>
      </c>
      <c r="H148" t="s">
        <v>70</v>
      </c>
      <c r="I148" t="s">
        <v>15</v>
      </c>
      <c r="J148" t="s">
        <v>16</v>
      </c>
      <c r="K148">
        <v>2.7</v>
      </c>
      <c r="L148" s="2">
        <f>IF(LEN(Table1[[#This Row],[phone]]) = 10, Table1[[#This Row],[phone]],"Not Available")</f>
        <v>3816377260</v>
      </c>
    </row>
    <row r="149" spans="1:12" x14ac:dyDescent="0.25">
      <c r="A149" t="s">
        <v>459</v>
      </c>
      <c r="B149" t="s">
        <v>460</v>
      </c>
      <c r="C149">
        <v>48</v>
      </c>
      <c r="D149">
        <v>39573</v>
      </c>
      <c r="E149" s="1">
        <v>43729</v>
      </c>
      <c r="F149" t="s">
        <v>461</v>
      </c>
      <c r="G149">
        <v>6550336363</v>
      </c>
      <c r="H149" t="s">
        <v>20</v>
      </c>
      <c r="I149" t="s">
        <v>15</v>
      </c>
      <c r="J149" t="s">
        <v>16</v>
      </c>
      <c r="K149">
        <v>7</v>
      </c>
      <c r="L149" s="2">
        <f>IF(LEN(Table1[[#This Row],[phone]]) = 10, Table1[[#This Row],[phone]],"Not Available")</f>
        <v>6550336363</v>
      </c>
    </row>
    <row r="150" spans="1:12" x14ac:dyDescent="0.25">
      <c r="A150" t="s">
        <v>462</v>
      </c>
      <c r="B150" t="s">
        <v>463</v>
      </c>
      <c r="C150">
        <v>83</v>
      </c>
      <c r="D150">
        <v>5000</v>
      </c>
      <c r="E150" s="1">
        <v>42591</v>
      </c>
      <c r="F150" t="s">
        <v>464</v>
      </c>
      <c r="G150">
        <v>4859578201</v>
      </c>
      <c r="H150" t="s">
        <v>65</v>
      </c>
      <c r="I150" t="s">
        <v>15</v>
      </c>
      <c r="J150" t="s">
        <v>21</v>
      </c>
      <c r="K150">
        <v>1.3</v>
      </c>
      <c r="L150" s="2">
        <f>IF(LEN(Table1[[#This Row],[phone]]) = 10, Table1[[#This Row],[phone]],"Not Available")</f>
        <v>4859578201</v>
      </c>
    </row>
    <row r="151" spans="1:12" x14ac:dyDescent="0.25">
      <c r="A151" t="s">
        <v>465</v>
      </c>
      <c r="B151" t="s">
        <v>466</v>
      </c>
      <c r="C151">
        <v>83</v>
      </c>
      <c r="D151">
        <v>61347</v>
      </c>
      <c r="E151" s="1">
        <v>44811</v>
      </c>
      <c r="F151" t="s">
        <v>467</v>
      </c>
      <c r="G151">
        <v>3183291585</v>
      </c>
      <c r="H151" t="s">
        <v>65</v>
      </c>
      <c r="I151" t="s">
        <v>29</v>
      </c>
      <c r="J151" t="s">
        <v>16</v>
      </c>
      <c r="K151">
        <v>7</v>
      </c>
      <c r="L151" s="2">
        <f>IF(LEN(Table1[[#This Row],[phone]]) = 10, Table1[[#This Row],[phone]],"Not Available")</f>
        <v>3183291585</v>
      </c>
    </row>
    <row r="152" spans="1:12" x14ac:dyDescent="0.25">
      <c r="A152" t="s">
        <v>468</v>
      </c>
      <c r="B152" t="s">
        <v>469</v>
      </c>
      <c r="C152">
        <v>66</v>
      </c>
      <c r="D152">
        <v>127430</v>
      </c>
      <c r="E152" s="1">
        <v>43621</v>
      </c>
      <c r="F152" t="s">
        <v>470</v>
      </c>
      <c r="G152">
        <v>9273312026</v>
      </c>
      <c r="H152" t="s">
        <v>20</v>
      </c>
      <c r="I152" t="s">
        <v>15</v>
      </c>
      <c r="J152" t="s">
        <v>16</v>
      </c>
      <c r="K152">
        <v>7</v>
      </c>
      <c r="L152" s="2">
        <f>IF(LEN(Table1[[#This Row],[phone]]) = 10, Table1[[#This Row],[phone]],"Not Available")</f>
        <v>9273312026</v>
      </c>
    </row>
    <row r="153" spans="1:12" x14ac:dyDescent="0.25">
      <c r="A153" t="s">
        <v>471</v>
      </c>
      <c r="B153" t="s">
        <v>472</v>
      </c>
      <c r="C153">
        <v>53</v>
      </c>
      <c r="D153">
        <v>143886</v>
      </c>
      <c r="E153" s="1">
        <v>44557</v>
      </c>
      <c r="F153" t="s">
        <v>473</v>
      </c>
      <c r="G153">
        <v>4677843321</v>
      </c>
      <c r="H153" t="s">
        <v>20</v>
      </c>
      <c r="I153" t="s">
        <v>66</v>
      </c>
      <c r="J153" t="s">
        <v>16</v>
      </c>
      <c r="K153">
        <v>3.5</v>
      </c>
      <c r="L153" s="2">
        <f>IF(LEN(Table1[[#This Row],[phone]]) = 10, Table1[[#This Row],[phone]],"Not Available")</f>
        <v>4677843321</v>
      </c>
    </row>
    <row r="154" spans="1:12" x14ac:dyDescent="0.25">
      <c r="A154" t="s">
        <v>474</v>
      </c>
      <c r="B154" t="s">
        <v>475</v>
      </c>
      <c r="C154">
        <v>48</v>
      </c>
      <c r="D154">
        <v>143886</v>
      </c>
      <c r="E154" s="1">
        <v>44501</v>
      </c>
      <c r="F154" t="s">
        <v>476</v>
      </c>
      <c r="G154">
        <v>9887880050</v>
      </c>
      <c r="H154" t="s">
        <v>20</v>
      </c>
      <c r="I154" t="s">
        <v>29</v>
      </c>
      <c r="J154" t="s">
        <v>16</v>
      </c>
      <c r="K154">
        <v>-2</v>
      </c>
      <c r="L154" s="2">
        <f>IF(LEN(Table1[[#This Row],[phone]]) = 10, Table1[[#This Row],[phone]],"Not Available")</f>
        <v>9887880050</v>
      </c>
    </row>
    <row r="155" spans="1:12" x14ac:dyDescent="0.25">
      <c r="A155" t="s">
        <v>477</v>
      </c>
      <c r="B155" t="s">
        <v>478</v>
      </c>
      <c r="C155">
        <v>25</v>
      </c>
      <c r="D155">
        <v>143886</v>
      </c>
      <c r="E155" s="1">
        <v>45175</v>
      </c>
      <c r="F155" t="s">
        <v>479</v>
      </c>
      <c r="G155">
        <v>7297954211</v>
      </c>
      <c r="H155" t="s">
        <v>20</v>
      </c>
      <c r="I155" t="s">
        <v>25</v>
      </c>
      <c r="J155" t="s">
        <v>16</v>
      </c>
      <c r="K155">
        <v>2.7</v>
      </c>
      <c r="L155" s="2">
        <f>IF(LEN(Table1[[#This Row],[phone]]) = 10, Table1[[#This Row],[phone]],"Not Available")</f>
        <v>7297954211</v>
      </c>
    </row>
    <row r="156" spans="1:12" x14ac:dyDescent="0.25">
      <c r="A156" t="s">
        <v>480</v>
      </c>
      <c r="B156" t="s">
        <v>481</v>
      </c>
      <c r="C156">
        <v>25</v>
      </c>
      <c r="D156">
        <v>5000</v>
      </c>
      <c r="E156" s="1">
        <v>42880</v>
      </c>
      <c r="F156" t="s">
        <v>482</v>
      </c>
      <c r="G156">
        <v>4698497711</v>
      </c>
      <c r="H156" t="s">
        <v>70</v>
      </c>
      <c r="I156" t="s">
        <v>37</v>
      </c>
      <c r="J156" t="s">
        <v>21</v>
      </c>
      <c r="K156">
        <v>2.7</v>
      </c>
      <c r="L156" s="2">
        <f>IF(LEN(Table1[[#This Row],[phone]]) = 10, Table1[[#This Row],[phone]],"Not Available")</f>
        <v>4698497711</v>
      </c>
    </row>
    <row r="157" spans="1:12" x14ac:dyDescent="0.25">
      <c r="A157" t="s">
        <v>483</v>
      </c>
      <c r="B157" t="s">
        <v>484</v>
      </c>
      <c r="C157">
        <v>48</v>
      </c>
      <c r="D157">
        <v>493932</v>
      </c>
      <c r="E157" s="1">
        <v>44765</v>
      </c>
      <c r="F157" t="s">
        <v>485</v>
      </c>
      <c r="G157">
        <v>8339557900</v>
      </c>
      <c r="H157" t="s">
        <v>20</v>
      </c>
      <c r="I157" t="s">
        <v>15</v>
      </c>
      <c r="J157" t="s">
        <v>16</v>
      </c>
      <c r="K157">
        <v>7</v>
      </c>
      <c r="L157" s="2">
        <f>IF(LEN(Table1[[#This Row],[phone]]) = 10, Table1[[#This Row],[phone]],"Not Available")</f>
        <v>8339557900</v>
      </c>
    </row>
    <row r="158" spans="1:12" x14ac:dyDescent="0.25">
      <c r="A158" t="s">
        <v>486</v>
      </c>
      <c r="B158" t="s">
        <v>487</v>
      </c>
      <c r="C158">
        <v>78</v>
      </c>
      <c r="D158">
        <v>42822</v>
      </c>
      <c r="E158" s="1">
        <v>44162</v>
      </c>
      <c r="F158" t="s">
        <v>69</v>
      </c>
      <c r="G158">
        <v>4436760191</v>
      </c>
      <c r="H158" t="s">
        <v>14</v>
      </c>
      <c r="I158" t="s">
        <v>15</v>
      </c>
      <c r="J158" t="s">
        <v>21</v>
      </c>
      <c r="K158">
        <v>2.7</v>
      </c>
      <c r="L158" s="2">
        <f>IF(LEN(Table1[[#This Row],[phone]]) = 10, Table1[[#This Row],[phone]],"Not Available")</f>
        <v>4436760191</v>
      </c>
    </row>
    <row r="159" spans="1:12" x14ac:dyDescent="0.25">
      <c r="A159" t="s">
        <v>488</v>
      </c>
      <c r="B159" t="s">
        <v>489</v>
      </c>
      <c r="C159">
        <v>27</v>
      </c>
      <c r="D159">
        <v>130042</v>
      </c>
      <c r="E159" s="1">
        <v>45866</v>
      </c>
      <c r="F159" t="s">
        <v>490</v>
      </c>
      <c r="G159">
        <v>4616570981</v>
      </c>
      <c r="H159" t="s">
        <v>65</v>
      </c>
      <c r="I159" t="s">
        <v>25</v>
      </c>
      <c r="J159" t="s">
        <v>16</v>
      </c>
      <c r="K159">
        <v>-2</v>
      </c>
      <c r="L159" s="2">
        <f>IF(LEN(Table1[[#This Row],[phone]]) = 10, Table1[[#This Row],[phone]],"Not Available")</f>
        <v>4616570981</v>
      </c>
    </row>
    <row r="160" spans="1:12" x14ac:dyDescent="0.25">
      <c r="A160" t="s">
        <v>491</v>
      </c>
      <c r="B160" t="s">
        <v>492</v>
      </c>
      <c r="C160">
        <v>25</v>
      </c>
      <c r="D160">
        <v>143886</v>
      </c>
      <c r="E160" s="1">
        <v>44877</v>
      </c>
      <c r="F160" t="s">
        <v>493</v>
      </c>
      <c r="G160">
        <v>2801658547</v>
      </c>
      <c r="H160" t="s">
        <v>20</v>
      </c>
      <c r="I160" t="s">
        <v>25</v>
      </c>
      <c r="J160" t="s">
        <v>16</v>
      </c>
      <c r="K160">
        <v>2.7</v>
      </c>
      <c r="L160" s="2">
        <f>IF(LEN(Table1[[#This Row],[phone]]) = 10, Table1[[#This Row],[phone]],"Not Available")</f>
        <v>2801658547</v>
      </c>
    </row>
    <row r="161" spans="1:12" x14ac:dyDescent="0.25">
      <c r="A161" t="s">
        <v>494</v>
      </c>
      <c r="B161" t="s">
        <v>495</v>
      </c>
      <c r="C161">
        <v>72</v>
      </c>
      <c r="D161">
        <v>41825</v>
      </c>
      <c r="E161" s="1">
        <v>43637</v>
      </c>
      <c r="F161" t="s">
        <v>496</v>
      </c>
      <c r="G161">
        <v>9027</v>
      </c>
      <c r="H161" t="s">
        <v>14</v>
      </c>
      <c r="I161" t="s">
        <v>25</v>
      </c>
      <c r="J161" t="s">
        <v>16</v>
      </c>
      <c r="K161">
        <v>7</v>
      </c>
      <c r="L161" s="2" t="str">
        <f>IF(LEN(Table1[[#This Row],[phone]]) = 10, Table1[[#This Row],[phone]],"Not Available")</f>
        <v>Not Available</v>
      </c>
    </row>
    <row r="162" spans="1:12" x14ac:dyDescent="0.25">
      <c r="A162" t="s">
        <v>497</v>
      </c>
      <c r="B162" t="s">
        <v>498</v>
      </c>
      <c r="C162">
        <v>48</v>
      </c>
      <c r="D162">
        <v>5000</v>
      </c>
      <c r="E162" s="1">
        <v>44597</v>
      </c>
      <c r="F162" t="s">
        <v>499</v>
      </c>
      <c r="G162">
        <v>1960428574</v>
      </c>
      <c r="H162" t="s">
        <v>14</v>
      </c>
      <c r="I162" t="s">
        <v>25</v>
      </c>
      <c r="J162" t="s">
        <v>21</v>
      </c>
      <c r="K162">
        <v>1.3</v>
      </c>
      <c r="L162" s="2">
        <f>IF(LEN(Table1[[#This Row],[phone]]) = 10, Table1[[#This Row],[phone]],"Not Available")</f>
        <v>1960428574</v>
      </c>
    </row>
    <row r="163" spans="1:12" x14ac:dyDescent="0.25">
      <c r="A163" t="s">
        <v>500</v>
      </c>
      <c r="B163" t="s">
        <v>501</v>
      </c>
      <c r="C163">
        <v>42</v>
      </c>
      <c r="D163">
        <v>91116</v>
      </c>
      <c r="E163" s="1">
        <v>45789</v>
      </c>
      <c r="F163" t="s">
        <v>502</v>
      </c>
      <c r="G163">
        <v>9982513934</v>
      </c>
      <c r="H163" t="s">
        <v>65</v>
      </c>
      <c r="I163" t="s">
        <v>15</v>
      </c>
      <c r="J163" t="s">
        <v>21</v>
      </c>
      <c r="K163">
        <v>1.6</v>
      </c>
      <c r="L163" s="2">
        <f>IF(LEN(Table1[[#This Row],[phone]]) = 10, Table1[[#This Row],[phone]],"Not Available")</f>
        <v>9982513934</v>
      </c>
    </row>
    <row r="164" spans="1:12" x14ac:dyDescent="0.25">
      <c r="A164" t="s">
        <v>503</v>
      </c>
      <c r="B164" t="s">
        <v>504</v>
      </c>
      <c r="C164">
        <v>69</v>
      </c>
      <c r="D164">
        <v>183570</v>
      </c>
      <c r="E164" s="1">
        <v>45215</v>
      </c>
      <c r="F164" t="s">
        <v>505</v>
      </c>
      <c r="G164">
        <v>8123019885</v>
      </c>
      <c r="H164" t="s">
        <v>70</v>
      </c>
      <c r="I164" t="s">
        <v>15</v>
      </c>
      <c r="J164" t="s">
        <v>16</v>
      </c>
      <c r="K164">
        <v>-2</v>
      </c>
      <c r="L164" s="2">
        <f>IF(LEN(Table1[[#This Row],[phone]]) = 10, Table1[[#This Row],[phone]],"Not Available")</f>
        <v>8123019885</v>
      </c>
    </row>
    <row r="165" spans="1:12" x14ac:dyDescent="0.25">
      <c r="A165" t="s">
        <v>506</v>
      </c>
      <c r="B165" t="s">
        <v>507</v>
      </c>
      <c r="C165">
        <v>48</v>
      </c>
      <c r="D165">
        <v>289113</v>
      </c>
      <c r="E165" s="1">
        <v>45443</v>
      </c>
      <c r="F165" t="s">
        <v>508</v>
      </c>
      <c r="G165">
        <v>7656916747</v>
      </c>
      <c r="H165" t="s">
        <v>20</v>
      </c>
      <c r="I165" t="s">
        <v>66</v>
      </c>
      <c r="J165" t="s">
        <v>21</v>
      </c>
      <c r="K165">
        <v>7</v>
      </c>
      <c r="L165" s="2">
        <f>IF(LEN(Table1[[#This Row],[phone]]) = 10, Table1[[#This Row],[phone]],"Not Available")</f>
        <v>7656916747</v>
      </c>
    </row>
    <row r="166" spans="1:12" x14ac:dyDescent="0.25">
      <c r="A166" t="s">
        <v>509</v>
      </c>
      <c r="B166" t="s">
        <v>510</v>
      </c>
      <c r="C166">
        <v>60</v>
      </c>
      <c r="D166">
        <v>432863</v>
      </c>
      <c r="E166" s="1">
        <v>43173</v>
      </c>
      <c r="F166" t="s">
        <v>511</v>
      </c>
      <c r="G166">
        <v>2849833891</v>
      </c>
      <c r="H166" t="s">
        <v>20</v>
      </c>
      <c r="I166" t="s">
        <v>15</v>
      </c>
      <c r="J166" t="s">
        <v>16</v>
      </c>
      <c r="K166">
        <v>-2</v>
      </c>
      <c r="L166" s="2">
        <f>IF(LEN(Table1[[#This Row],[phone]]) = 10, Table1[[#This Row],[phone]],"Not Available")</f>
        <v>2849833891</v>
      </c>
    </row>
    <row r="167" spans="1:12" x14ac:dyDescent="0.25">
      <c r="A167" t="s">
        <v>512</v>
      </c>
      <c r="B167" t="s">
        <v>513</v>
      </c>
      <c r="C167">
        <v>25</v>
      </c>
      <c r="D167">
        <v>5000</v>
      </c>
      <c r="E167" s="1">
        <v>43171</v>
      </c>
      <c r="F167" t="s">
        <v>514</v>
      </c>
      <c r="G167">
        <v>1895346688</v>
      </c>
      <c r="H167" t="s">
        <v>14</v>
      </c>
      <c r="I167" t="s">
        <v>15</v>
      </c>
      <c r="J167" t="s">
        <v>21</v>
      </c>
      <c r="K167">
        <v>-2</v>
      </c>
      <c r="L167" s="2">
        <f>IF(LEN(Table1[[#This Row],[phone]]) = 10, Table1[[#This Row],[phone]],"Not Available")</f>
        <v>1895346688</v>
      </c>
    </row>
    <row r="168" spans="1:12" x14ac:dyDescent="0.25">
      <c r="A168" t="s">
        <v>515</v>
      </c>
      <c r="B168" t="s">
        <v>516</v>
      </c>
      <c r="C168">
        <v>69</v>
      </c>
      <c r="D168">
        <v>138404</v>
      </c>
      <c r="E168" s="1">
        <v>45333</v>
      </c>
      <c r="F168" t="s">
        <v>517</v>
      </c>
      <c r="G168">
        <v>7496371378</v>
      </c>
      <c r="H168" t="s">
        <v>20</v>
      </c>
      <c r="I168" t="s">
        <v>15</v>
      </c>
      <c r="J168" t="s">
        <v>16</v>
      </c>
      <c r="K168">
        <v>-2</v>
      </c>
      <c r="L168" s="2">
        <f>IF(LEN(Table1[[#This Row],[phone]]) = 10, Table1[[#This Row],[phone]],"Not Available")</f>
        <v>7496371378</v>
      </c>
    </row>
    <row r="169" spans="1:12" x14ac:dyDescent="0.25">
      <c r="A169" t="s">
        <v>518</v>
      </c>
      <c r="B169" t="s">
        <v>519</v>
      </c>
      <c r="C169">
        <v>24</v>
      </c>
      <c r="D169">
        <v>143886</v>
      </c>
      <c r="E169" s="1">
        <v>42737</v>
      </c>
      <c r="F169" t="s">
        <v>520</v>
      </c>
      <c r="G169">
        <v>6500359940</v>
      </c>
      <c r="H169" t="s">
        <v>65</v>
      </c>
      <c r="I169" t="s">
        <v>37</v>
      </c>
      <c r="J169" t="s">
        <v>21</v>
      </c>
      <c r="K169">
        <v>2.7</v>
      </c>
      <c r="L169" s="2">
        <f>IF(LEN(Table1[[#This Row],[phone]]) = 10, Table1[[#This Row],[phone]],"Not Available")</f>
        <v>6500359940</v>
      </c>
    </row>
    <row r="170" spans="1:12" x14ac:dyDescent="0.25">
      <c r="A170" t="s">
        <v>521</v>
      </c>
      <c r="B170" t="s">
        <v>522</v>
      </c>
      <c r="C170">
        <v>48</v>
      </c>
      <c r="D170">
        <v>143886</v>
      </c>
      <c r="E170" s="1">
        <v>45722</v>
      </c>
      <c r="F170" t="s">
        <v>523</v>
      </c>
      <c r="G170">
        <v>1984517392</v>
      </c>
      <c r="H170" t="s">
        <v>65</v>
      </c>
      <c r="I170" t="s">
        <v>15</v>
      </c>
      <c r="J170" t="s">
        <v>16</v>
      </c>
      <c r="K170">
        <v>2.7</v>
      </c>
      <c r="L170" s="2">
        <f>IF(LEN(Table1[[#This Row],[phone]]) = 10, Table1[[#This Row],[phone]],"Not Available")</f>
        <v>1984517392</v>
      </c>
    </row>
    <row r="171" spans="1:12" x14ac:dyDescent="0.25">
      <c r="A171" t="s">
        <v>524</v>
      </c>
      <c r="B171" t="s">
        <v>525</v>
      </c>
      <c r="C171">
        <v>44</v>
      </c>
      <c r="D171">
        <v>223986</v>
      </c>
      <c r="E171" s="1">
        <v>45307</v>
      </c>
      <c r="F171" t="s">
        <v>526</v>
      </c>
      <c r="G171">
        <v>315574673</v>
      </c>
      <c r="H171" t="s">
        <v>65</v>
      </c>
      <c r="I171" t="s">
        <v>37</v>
      </c>
      <c r="J171" t="s">
        <v>16</v>
      </c>
      <c r="K171">
        <v>-2</v>
      </c>
      <c r="L171" s="2" t="str">
        <f>IF(LEN(Table1[[#This Row],[phone]]) = 10, Table1[[#This Row],[phone]],"Not Available")</f>
        <v>Not Available</v>
      </c>
    </row>
    <row r="172" spans="1:12" x14ac:dyDescent="0.25">
      <c r="A172" t="s">
        <v>527</v>
      </c>
      <c r="B172" t="s">
        <v>528</v>
      </c>
      <c r="C172">
        <v>30</v>
      </c>
      <c r="D172">
        <v>143886</v>
      </c>
      <c r="E172" s="1">
        <v>45005</v>
      </c>
      <c r="F172" t="s">
        <v>529</v>
      </c>
      <c r="G172">
        <v>5517147419</v>
      </c>
      <c r="H172" t="s">
        <v>33</v>
      </c>
      <c r="I172" t="s">
        <v>15</v>
      </c>
      <c r="J172" t="s">
        <v>16</v>
      </c>
      <c r="K172">
        <v>-2</v>
      </c>
      <c r="L172" s="2">
        <f>IF(LEN(Table1[[#This Row],[phone]]) = 10, Table1[[#This Row],[phone]],"Not Available")</f>
        <v>5517147419</v>
      </c>
    </row>
    <row r="173" spans="1:12" x14ac:dyDescent="0.25">
      <c r="A173" t="s">
        <v>530</v>
      </c>
      <c r="B173" t="s">
        <v>531</v>
      </c>
      <c r="C173">
        <v>87</v>
      </c>
      <c r="D173">
        <v>143886</v>
      </c>
      <c r="E173" s="1">
        <v>44901</v>
      </c>
      <c r="F173" t="s">
        <v>532</v>
      </c>
      <c r="G173">
        <v>1647809681</v>
      </c>
      <c r="H173" t="s">
        <v>14</v>
      </c>
      <c r="I173" t="s">
        <v>15</v>
      </c>
      <c r="J173" t="s">
        <v>21</v>
      </c>
      <c r="K173">
        <v>2.7</v>
      </c>
      <c r="L173" s="2">
        <f>IF(LEN(Table1[[#This Row],[phone]]) = 10, Table1[[#This Row],[phone]],"Not Available")</f>
        <v>1647809681</v>
      </c>
    </row>
    <row r="174" spans="1:12" x14ac:dyDescent="0.25">
      <c r="A174" t="s">
        <v>533</v>
      </c>
      <c r="B174" t="s">
        <v>534</v>
      </c>
      <c r="C174">
        <v>48</v>
      </c>
      <c r="D174">
        <v>104158</v>
      </c>
      <c r="E174" s="1">
        <v>42883</v>
      </c>
      <c r="F174" t="s">
        <v>535</v>
      </c>
      <c r="G174">
        <v>1871226941</v>
      </c>
      <c r="H174" t="s">
        <v>70</v>
      </c>
      <c r="I174" t="s">
        <v>29</v>
      </c>
      <c r="J174" t="s">
        <v>21</v>
      </c>
      <c r="K174">
        <v>-2</v>
      </c>
      <c r="L174" s="2">
        <f>IF(LEN(Table1[[#This Row],[phone]]) = 10, Table1[[#This Row],[phone]],"Not Available")</f>
        <v>1871226941</v>
      </c>
    </row>
    <row r="175" spans="1:12" x14ac:dyDescent="0.25">
      <c r="A175" t="s">
        <v>536</v>
      </c>
      <c r="B175" t="s">
        <v>537</v>
      </c>
      <c r="C175">
        <v>55</v>
      </c>
      <c r="D175">
        <v>143886</v>
      </c>
      <c r="E175" s="1">
        <v>43134</v>
      </c>
      <c r="F175" t="s">
        <v>538</v>
      </c>
      <c r="G175">
        <v>6841276927</v>
      </c>
      <c r="H175" t="s">
        <v>20</v>
      </c>
      <c r="I175" t="s">
        <v>66</v>
      </c>
      <c r="J175" t="s">
        <v>16</v>
      </c>
      <c r="K175">
        <v>7</v>
      </c>
      <c r="L175" s="2">
        <f>IF(LEN(Table1[[#This Row],[phone]]) = 10, Table1[[#This Row],[phone]],"Not Available")</f>
        <v>6841276927</v>
      </c>
    </row>
    <row r="176" spans="1:12" x14ac:dyDescent="0.25">
      <c r="A176" t="s">
        <v>539</v>
      </c>
      <c r="B176" t="s">
        <v>540</v>
      </c>
      <c r="C176">
        <v>33</v>
      </c>
      <c r="D176">
        <v>5000</v>
      </c>
      <c r="E176" s="1">
        <v>43948</v>
      </c>
      <c r="F176" t="s">
        <v>69</v>
      </c>
      <c r="G176">
        <v>588524494</v>
      </c>
      <c r="H176" t="s">
        <v>70</v>
      </c>
      <c r="I176" t="s">
        <v>66</v>
      </c>
      <c r="J176" t="s">
        <v>21</v>
      </c>
      <c r="K176">
        <v>2.6</v>
      </c>
      <c r="L176" s="2" t="str">
        <f>IF(LEN(Table1[[#This Row],[phone]]) = 10, Table1[[#This Row],[phone]],"Not Available")</f>
        <v>Not Available</v>
      </c>
    </row>
    <row r="177" spans="1:12" x14ac:dyDescent="0.25">
      <c r="A177" t="s">
        <v>541</v>
      </c>
      <c r="B177" t="s">
        <v>542</v>
      </c>
      <c r="C177">
        <v>48</v>
      </c>
      <c r="D177">
        <v>5000</v>
      </c>
      <c r="E177" s="1">
        <v>43678</v>
      </c>
      <c r="F177" t="s">
        <v>543</v>
      </c>
      <c r="G177">
        <v>8333002491</v>
      </c>
      <c r="H177" t="s">
        <v>65</v>
      </c>
      <c r="I177" t="s">
        <v>25</v>
      </c>
      <c r="J177" t="s">
        <v>16</v>
      </c>
      <c r="K177">
        <v>2.7</v>
      </c>
      <c r="L177" s="2">
        <f>IF(LEN(Table1[[#This Row],[phone]]) = 10, Table1[[#This Row],[phone]],"Not Available")</f>
        <v>8333002491</v>
      </c>
    </row>
    <row r="178" spans="1:12" x14ac:dyDescent="0.25">
      <c r="A178" t="s">
        <v>544</v>
      </c>
      <c r="B178" t="s">
        <v>545</v>
      </c>
      <c r="C178">
        <v>74</v>
      </c>
      <c r="D178">
        <v>354949</v>
      </c>
      <c r="E178" s="1">
        <v>45357</v>
      </c>
      <c r="F178" t="s">
        <v>546</v>
      </c>
      <c r="G178">
        <v>9336231474</v>
      </c>
      <c r="H178" t="s">
        <v>33</v>
      </c>
      <c r="I178" t="s">
        <v>29</v>
      </c>
      <c r="J178" t="s">
        <v>21</v>
      </c>
      <c r="K178">
        <v>-2</v>
      </c>
      <c r="L178" s="2">
        <f>IF(LEN(Table1[[#This Row],[phone]]) = 10, Table1[[#This Row],[phone]],"Not Available")</f>
        <v>9336231474</v>
      </c>
    </row>
    <row r="179" spans="1:12" x14ac:dyDescent="0.25">
      <c r="A179" t="s">
        <v>547</v>
      </c>
      <c r="B179" t="s">
        <v>548</v>
      </c>
      <c r="C179">
        <v>48</v>
      </c>
      <c r="D179">
        <v>143886</v>
      </c>
      <c r="E179" s="1">
        <v>43423</v>
      </c>
      <c r="F179" t="s">
        <v>549</v>
      </c>
      <c r="G179">
        <v>4321751343</v>
      </c>
      <c r="H179" t="s">
        <v>20</v>
      </c>
      <c r="I179" t="s">
        <v>29</v>
      </c>
      <c r="J179" t="s">
        <v>16</v>
      </c>
      <c r="K179">
        <v>2.7</v>
      </c>
      <c r="L179" s="2">
        <f>IF(LEN(Table1[[#This Row],[phone]]) = 10, Table1[[#This Row],[phone]],"Not Available")</f>
        <v>4321751343</v>
      </c>
    </row>
    <row r="180" spans="1:12" x14ac:dyDescent="0.25">
      <c r="A180" t="s">
        <v>550</v>
      </c>
      <c r="B180" t="s">
        <v>551</v>
      </c>
      <c r="C180">
        <v>48</v>
      </c>
      <c r="D180">
        <v>145492</v>
      </c>
      <c r="E180" s="1">
        <v>43676</v>
      </c>
      <c r="F180" t="s">
        <v>552</v>
      </c>
      <c r="G180">
        <v>6580283737</v>
      </c>
      <c r="H180" t="s">
        <v>14</v>
      </c>
      <c r="I180" t="s">
        <v>37</v>
      </c>
      <c r="J180" t="s">
        <v>16</v>
      </c>
      <c r="K180">
        <v>2.7</v>
      </c>
      <c r="L180" s="2">
        <f>IF(LEN(Table1[[#This Row],[phone]]) = 10, Table1[[#This Row],[phone]],"Not Available")</f>
        <v>6580283737</v>
      </c>
    </row>
    <row r="181" spans="1:12" x14ac:dyDescent="0.25">
      <c r="A181" t="s">
        <v>553</v>
      </c>
      <c r="B181" t="s">
        <v>554</v>
      </c>
      <c r="C181">
        <v>48</v>
      </c>
      <c r="D181">
        <v>143886</v>
      </c>
      <c r="E181" s="1">
        <v>45033</v>
      </c>
      <c r="F181" t="s">
        <v>555</v>
      </c>
      <c r="G181">
        <v>3635694125</v>
      </c>
      <c r="H181" t="s">
        <v>65</v>
      </c>
      <c r="I181" t="s">
        <v>66</v>
      </c>
      <c r="J181" t="s">
        <v>21</v>
      </c>
      <c r="K181">
        <v>2.7</v>
      </c>
      <c r="L181" s="2">
        <f>IF(LEN(Table1[[#This Row],[phone]]) = 10, Table1[[#This Row],[phone]],"Not Available")</f>
        <v>3635694125</v>
      </c>
    </row>
    <row r="182" spans="1:12" x14ac:dyDescent="0.25">
      <c r="A182" t="s">
        <v>556</v>
      </c>
      <c r="B182" t="s">
        <v>557</v>
      </c>
      <c r="C182">
        <v>26</v>
      </c>
      <c r="D182">
        <v>143886</v>
      </c>
      <c r="E182" s="1">
        <v>45154</v>
      </c>
      <c r="F182" t="s">
        <v>558</v>
      </c>
      <c r="G182">
        <v>2698093448</v>
      </c>
      <c r="H182" t="s">
        <v>20</v>
      </c>
      <c r="I182" t="s">
        <v>15</v>
      </c>
      <c r="J182" t="s">
        <v>16</v>
      </c>
      <c r="K182">
        <v>3.6</v>
      </c>
      <c r="L182" s="2">
        <f>IF(LEN(Table1[[#This Row],[phone]]) = 10, Table1[[#This Row],[phone]],"Not Available")</f>
        <v>2698093448</v>
      </c>
    </row>
    <row r="183" spans="1:12" x14ac:dyDescent="0.25">
      <c r="A183" t="s">
        <v>559</v>
      </c>
      <c r="B183" t="s">
        <v>560</v>
      </c>
      <c r="C183">
        <v>48</v>
      </c>
      <c r="D183">
        <v>46714</v>
      </c>
      <c r="E183" s="1">
        <v>44134</v>
      </c>
      <c r="F183" t="s">
        <v>561</v>
      </c>
      <c r="G183">
        <v>2448683278</v>
      </c>
      <c r="H183" t="s">
        <v>65</v>
      </c>
      <c r="I183" t="s">
        <v>29</v>
      </c>
      <c r="J183" t="s">
        <v>16</v>
      </c>
      <c r="K183">
        <v>3</v>
      </c>
      <c r="L183" s="2">
        <f>IF(LEN(Table1[[#This Row],[phone]]) = 10, Table1[[#This Row],[phone]],"Not Available")</f>
        <v>2448683278</v>
      </c>
    </row>
    <row r="184" spans="1:12" x14ac:dyDescent="0.25">
      <c r="A184" t="s">
        <v>562</v>
      </c>
      <c r="B184" t="s">
        <v>563</v>
      </c>
      <c r="C184">
        <v>25</v>
      </c>
      <c r="D184">
        <v>275272</v>
      </c>
      <c r="E184" s="1">
        <v>42587</v>
      </c>
      <c r="F184" t="s">
        <v>564</v>
      </c>
      <c r="G184">
        <v>8027632276</v>
      </c>
      <c r="H184" t="s">
        <v>20</v>
      </c>
      <c r="I184" t="s">
        <v>25</v>
      </c>
      <c r="J184" t="s">
        <v>16</v>
      </c>
      <c r="K184">
        <v>1.1000000000000001</v>
      </c>
      <c r="L184" s="2">
        <f>IF(LEN(Table1[[#This Row],[phone]]) = 10, Table1[[#This Row],[phone]],"Not Available")</f>
        <v>8027632276</v>
      </c>
    </row>
    <row r="185" spans="1:12" x14ac:dyDescent="0.25">
      <c r="A185" t="s">
        <v>565</v>
      </c>
      <c r="B185" t="s">
        <v>566</v>
      </c>
      <c r="C185">
        <v>50</v>
      </c>
      <c r="D185">
        <v>375517</v>
      </c>
      <c r="E185" s="1">
        <v>45639</v>
      </c>
      <c r="F185" t="s">
        <v>567</v>
      </c>
      <c r="G185">
        <v>4668859463</v>
      </c>
      <c r="H185" t="s">
        <v>20</v>
      </c>
      <c r="I185" t="s">
        <v>15</v>
      </c>
      <c r="J185" t="s">
        <v>16</v>
      </c>
      <c r="K185">
        <v>7</v>
      </c>
      <c r="L185" s="2">
        <f>IF(LEN(Table1[[#This Row],[phone]]) = 10, Table1[[#This Row],[phone]],"Not Available")</f>
        <v>4668859463</v>
      </c>
    </row>
    <row r="186" spans="1:12" x14ac:dyDescent="0.25">
      <c r="A186" t="s">
        <v>568</v>
      </c>
      <c r="B186" t="s">
        <v>569</v>
      </c>
      <c r="C186">
        <v>66</v>
      </c>
      <c r="D186">
        <v>5000</v>
      </c>
      <c r="E186" s="1">
        <v>46050</v>
      </c>
      <c r="F186" t="s">
        <v>570</v>
      </c>
      <c r="G186">
        <v>2718206928</v>
      </c>
      <c r="H186" t="s">
        <v>20</v>
      </c>
      <c r="I186" t="s">
        <v>29</v>
      </c>
      <c r="J186" t="s">
        <v>16</v>
      </c>
      <c r="K186">
        <v>-2</v>
      </c>
      <c r="L186" s="2">
        <f>IF(LEN(Table1[[#This Row],[phone]]) = 10, Table1[[#This Row],[phone]],"Not Available")</f>
        <v>2718206928</v>
      </c>
    </row>
    <row r="187" spans="1:12" x14ac:dyDescent="0.25">
      <c r="A187" t="s">
        <v>571</v>
      </c>
      <c r="B187" t="s">
        <v>572</v>
      </c>
      <c r="C187">
        <v>48</v>
      </c>
      <c r="D187">
        <v>468929</v>
      </c>
      <c r="E187" s="1">
        <v>45876</v>
      </c>
      <c r="F187" t="s">
        <v>573</v>
      </c>
      <c r="G187">
        <v>3935700495</v>
      </c>
      <c r="H187" t="s">
        <v>20</v>
      </c>
      <c r="I187" t="s">
        <v>15</v>
      </c>
      <c r="J187" t="s">
        <v>16</v>
      </c>
      <c r="K187">
        <v>2.7</v>
      </c>
      <c r="L187" s="2">
        <f>IF(LEN(Table1[[#This Row],[phone]]) = 10, Table1[[#This Row],[phone]],"Not Available")</f>
        <v>3935700495</v>
      </c>
    </row>
    <row r="188" spans="1:12" x14ac:dyDescent="0.25">
      <c r="A188" t="s">
        <v>574</v>
      </c>
      <c r="B188" t="s">
        <v>575</v>
      </c>
      <c r="C188">
        <v>59</v>
      </c>
      <c r="D188">
        <v>5000</v>
      </c>
      <c r="E188" s="1">
        <v>43445</v>
      </c>
      <c r="F188" t="s">
        <v>576</v>
      </c>
      <c r="G188">
        <v>6989807375</v>
      </c>
      <c r="H188" t="s">
        <v>33</v>
      </c>
      <c r="I188" t="s">
        <v>29</v>
      </c>
      <c r="J188" t="s">
        <v>16</v>
      </c>
      <c r="K188">
        <v>-2</v>
      </c>
      <c r="L188" s="2">
        <f>IF(LEN(Table1[[#This Row],[phone]]) = 10, Table1[[#This Row],[phone]],"Not Available")</f>
        <v>6989807375</v>
      </c>
    </row>
    <row r="189" spans="1:12" x14ac:dyDescent="0.25">
      <c r="A189" t="s">
        <v>577</v>
      </c>
      <c r="B189" t="s">
        <v>578</v>
      </c>
      <c r="C189">
        <v>57</v>
      </c>
      <c r="D189">
        <v>204924</v>
      </c>
      <c r="E189" s="1">
        <v>45681</v>
      </c>
      <c r="F189" t="s">
        <v>579</v>
      </c>
      <c r="G189">
        <v>9750706581</v>
      </c>
      <c r="H189" t="s">
        <v>70</v>
      </c>
      <c r="I189" t="s">
        <v>37</v>
      </c>
      <c r="J189" t="s">
        <v>16</v>
      </c>
      <c r="K189">
        <v>-2</v>
      </c>
      <c r="L189" s="2">
        <f>IF(LEN(Table1[[#This Row],[phone]]) = 10, Table1[[#This Row],[phone]],"Not Available")</f>
        <v>9750706581</v>
      </c>
    </row>
    <row r="190" spans="1:12" x14ac:dyDescent="0.25">
      <c r="A190" t="s">
        <v>580</v>
      </c>
      <c r="B190" t="s">
        <v>581</v>
      </c>
      <c r="C190">
        <v>48</v>
      </c>
      <c r="D190">
        <v>191547</v>
      </c>
      <c r="E190" s="1">
        <v>44487</v>
      </c>
      <c r="F190" t="s">
        <v>69</v>
      </c>
      <c r="G190">
        <v>4221992005</v>
      </c>
      <c r="H190" t="s">
        <v>33</v>
      </c>
      <c r="I190" t="s">
        <v>15</v>
      </c>
      <c r="J190" t="s">
        <v>16</v>
      </c>
      <c r="K190">
        <v>7</v>
      </c>
      <c r="L190" s="2">
        <f>IF(LEN(Table1[[#This Row],[phone]]) = 10, Table1[[#This Row],[phone]],"Not Available")</f>
        <v>4221992005</v>
      </c>
    </row>
    <row r="191" spans="1:12" x14ac:dyDescent="0.25">
      <c r="A191" t="s">
        <v>582</v>
      </c>
      <c r="B191" t="s">
        <v>583</v>
      </c>
      <c r="C191">
        <v>41</v>
      </c>
      <c r="D191">
        <v>143886</v>
      </c>
      <c r="E191" s="1">
        <v>44985</v>
      </c>
      <c r="F191" t="s">
        <v>584</v>
      </c>
      <c r="G191">
        <v>8013343193</v>
      </c>
      <c r="H191" t="s">
        <v>33</v>
      </c>
      <c r="I191" t="s">
        <v>37</v>
      </c>
      <c r="J191" t="s">
        <v>16</v>
      </c>
      <c r="K191">
        <v>7</v>
      </c>
      <c r="L191" s="2">
        <f>IF(LEN(Table1[[#This Row],[phone]]) = 10, Table1[[#This Row],[phone]],"Not Available")</f>
        <v>8013343193</v>
      </c>
    </row>
    <row r="192" spans="1:12" x14ac:dyDescent="0.25">
      <c r="A192" t="s">
        <v>585</v>
      </c>
      <c r="B192" t="s">
        <v>586</v>
      </c>
      <c r="C192">
        <v>48</v>
      </c>
      <c r="D192">
        <v>437643</v>
      </c>
      <c r="E192" s="1">
        <v>45180</v>
      </c>
      <c r="F192" t="s">
        <v>587</v>
      </c>
      <c r="G192">
        <v>7699671906</v>
      </c>
      <c r="H192" t="s">
        <v>65</v>
      </c>
      <c r="I192" t="s">
        <v>15</v>
      </c>
      <c r="J192" t="s">
        <v>21</v>
      </c>
      <c r="K192">
        <v>3.9</v>
      </c>
      <c r="L192" s="2">
        <f>IF(LEN(Table1[[#This Row],[phone]]) = 10, Table1[[#This Row],[phone]],"Not Available")</f>
        <v>7699671906</v>
      </c>
    </row>
    <row r="193" spans="1:12" x14ac:dyDescent="0.25">
      <c r="A193" t="s">
        <v>588</v>
      </c>
      <c r="B193" t="s">
        <v>589</v>
      </c>
      <c r="C193">
        <v>25</v>
      </c>
      <c r="D193">
        <v>197122</v>
      </c>
      <c r="E193" s="1">
        <v>46019</v>
      </c>
      <c r="F193" t="s">
        <v>590</v>
      </c>
      <c r="G193">
        <v>6696209877</v>
      </c>
      <c r="H193" t="s">
        <v>65</v>
      </c>
      <c r="I193" t="s">
        <v>15</v>
      </c>
      <c r="J193" t="s">
        <v>21</v>
      </c>
      <c r="K193">
        <v>2.7</v>
      </c>
      <c r="L193" s="2">
        <f>IF(LEN(Table1[[#This Row],[phone]]) = 10, Table1[[#This Row],[phone]],"Not Available")</f>
        <v>6696209877</v>
      </c>
    </row>
    <row r="194" spans="1:12" x14ac:dyDescent="0.25">
      <c r="A194" t="s">
        <v>591</v>
      </c>
      <c r="B194" t="s">
        <v>592</v>
      </c>
      <c r="C194">
        <v>48</v>
      </c>
      <c r="D194">
        <v>143886</v>
      </c>
      <c r="E194" s="1">
        <v>45898</v>
      </c>
      <c r="F194" t="s">
        <v>593</v>
      </c>
      <c r="G194">
        <v>5707508109</v>
      </c>
      <c r="H194" t="s">
        <v>20</v>
      </c>
      <c r="I194" t="s">
        <v>15</v>
      </c>
      <c r="J194" t="s">
        <v>16</v>
      </c>
      <c r="K194">
        <v>7</v>
      </c>
      <c r="L194" s="2">
        <f>IF(LEN(Table1[[#This Row],[phone]]) = 10, Table1[[#This Row],[phone]],"Not Available")</f>
        <v>5707508109</v>
      </c>
    </row>
    <row r="195" spans="1:12" x14ac:dyDescent="0.25">
      <c r="A195" t="s">
        <v>594</v>
      </c>
      <c r="B195" t="s">
        <v>595</v>
      </c>
      <c r="C195">
        <v>48</v>
      </c>
      <c r="D195">
        <v>143886</v>
      </c>
      <c r="E195" s="1">
        <v>45248</v>
      </c>
      <c r="F195" t="s">
        <v>596</v>
      </c>
      <c r="G195">
        <v>8689616267</v>
      </c>
      <c r="H195" t="s">
        <v>20</v>
      </c>
      <c r="I195" t="s">
        <v>15</v>
      </c>
      <c r="J195" t="s">
        <v>16</v>
      </c>
      <c r="K195">
        <v>-2</v>
      </c>
      <c r="L195" s="2">
        <f>IF(LEN(Table1[[#This Row],[phone]]) = 10, Table1[[#This Row],[phone]],"Not Available")</f>
        <v>8689616267</v>
      </c>
    </row>
    <row r="196" spans="1:12" x14ac:dyDescent="0.25">
      <c r="A196" t="s">
        <v>597</v>
      </c>
      <c r="B196" t="s">
        <v>598</v>
      </c>
      <c r="C196">
        <v>48</v>
      </c>
      <c r="D196">
        <v>125079</v>
      </c>
      <c r="E196" s="1">
        <v>46001</v>
      </c>
      <c r="F196" t="s">
        <v>599</v>
      </c>
      <c r="G196">
        <v>2765144778</v>
      </c>
      <c r="H196" t="s">
        <v>70</v>
      </c>
      <c r="I196" t="s">
        <v>15</v>
      </c>
      <c r="J196" t="s">
        <v>16</v>
      </c>
      <c r="K196">
        <v>1.6</v>
      </c>
      <c r="L196" s="2">
        <f>IF(LEN(Table1[[#This Row],[phone]]) = 10, Table1[[#This Row],[phone]],"Not Available")</f>
        <v>2765144778</v>
      </c>
    </row>
    <row r="197" spans="1:12" x14ac:dyDescent="0.25">
      <c r="A197" t="s">
        <v>600</v>
      </c>
      <c r="B197" t="s">
        <v>601</v>
      </c>
      <c r="C197">
        <v>25</v>
      </c>
      <c r="D197">
        <v>5000</v>
      </c>
      <c r="E197" s="1">
        <v>43390</v>
      </c>
      <c r="F197" t="s">
        <v>602</v>
      </c>
      <c r="G197">
        <v>9139972473</v>
      </c>
      <c r="H197" t="s">
        <v>20</v>
      </c>
      <c r="I197" t="s">
        <v>29</v>
      </c>
      <c r="J197" t="s">
        <v>21</v>
      </c>
      <c r="K197">
        <v>7</v>
      </c>
      <c r="L197" s="2">
        <f>IF(LEN(Table1[[#This Row],[phone]]) = 10, Table1[[#This Row],[phone]],"Not Available")</f>
        <v>9139972473</v>
      </c>
    </row>
    <row r="198" spans="1:12" x14ac:dyDescent="0.25">
      <c r="A198" t="s">
        <v>603</v>
      </c>
      <c r="B198" t="s">
        <v>604</v>
      </c>
      <c r="C198">
        <v>48</v>
      </c>
      <c r="D198">
        <v>143886</v>
      </c>
      <c r="E198" s="1">
        <v>44529</v>
      </c>
      <c r="F198" t="s">
        <v>605</v>
      </c>
      <c r="G198">
        <v>2084246652</v>
      </c>
      <c r="H198" t="s">
        <v>70</v>
      </c>
      <c r="I198" t="s">
        <v>29</v>
      </c>
      <c r="J198" t="s">
        <v>21</v>
      </c>
      <c r="K198">
        <v>4.9000000000000004</v>
      </c>
      <c r="L198" s="2">
        <f>IF(LEN(Table1[[#This Row],[phone]]) = 10, Table1[[#This Row],[phone]],"Not Available")</f>
        <v>2084246652</v>
      </c>
    </row>
    <row r="199" spans="1:12" x14ac:dyDescent="0.25">
      <c r="A199" t="s">
        <v>606</v>
      </c>
      <c r="B199" t="s">
        <v>607</v>
      </c>
      <c r="C199">
        <v>78</v>
      </c>
      <c r="D199">
        <v>143886</v>
      </c>
      <c r="E199" s="1">
        <v>43501</v>
      </c>
      <c r="F199" t="s">
        <v>608</v>
      </c>
      <c r="G199">
        <v>95005</v>
      </c>
      <c r="H199" t="s">
        <v>20</v>
      </c>
      <c r="I199" t="s">
        <v>15</v>
      </c>
      <c r="J199" t="s">
        <v>16</v>
      </c>
      <c r="K199">
        <v>7</v>
      </c>
      <c r="L199" s="2" t="str">
        <f>IF(LEN(Table1[[#This Row],[phone]]) = 10, Table1[[#This Row],[phone]],"Not Available")</f>
        <v>Not Available</v>
      </c>
    </row>
    <row r="200" spans="1:12" x14ac:dyDescent="0.25">
      <c r="A200" t="s">
        <v>609</v>
      </c>
      <c r="B200" t="s">
        <v>610</v>
      </c>
      <c r="C200">
        <v>48</v>
      </c>
      <c r="D200">
        <v>143886</v>
      </c>
      <c r="E200" s="1">
        <v>42695</v>
      </c>
      <c r="F200" t="s">
        <v>611</v>
      </c>
      <c r="G200">
        <v>3170526395</v>
      </c>
      <c r="H200" t="s">
        <v>20</v>
      </c>
      <c r="I200" t="s">
        <v>66</v>
      </c>
      <c r="J200" t="s">
        <v>16</v>
      </c>
      <c r="K200">
        <v>-2</v>
      </c>
      <c r="L200" s="2">
        <f>IF(LEN(Table1[[#This Row],[phone]]) = 10, Table1[[#This Row],[phone]],"Not Available")</f>
        <v>3170526395</v>
      </c>
    </row>
    <row r="201" spans="1:12" x14ac:dyDescent="0.25">
      <c r="A201" t="s">
        <v>612</v>
      </c>
      <c r="B201" t="s">
        <v>613</v>
      </c>
      <c r="C201">
        <v>25</v>
      </c>
      <c r="D201">
        <v>139418</v>
      </c>
      <c r="E201" s="1">
        <v>43691</v>
      </c>
      <c r="F201" t="s">
        <v>614</v>
      </c>
      <c r="G201">
        <v>5734192700</v>
      </c>
      <c r="H201" t="s">
        <v>70</v>
      </c>
      <c r="I201" t="s">
        <v>37</v>
      </c>
      <c r="J201" t="s">
        <v>16</v>
      </c>
      <c r="K201">
        <v>7</v>
      </c>
      <c r="L201" s="2">
        <f>IF(LEN(Table1[[#This Row],[phone]]) = 10, Table1[[#This Row],[phone]],"Not Available")</f>
        <v>5734192700</v>
      </c>
    </row>
    <row r="202" spans="1:12" x14ac:dyDescent="0.25">
      <c r="A202" t="s">
        <v>615</v>
      </c>
      <c r="B202" t="s">
        <v>616</v>
      </c>
      <c r="C202">
        <v>25</v>
      </c>
      <c r="D202">
        <v>5000</v>
      </c>
      <c r="E202" s="1">
        <v>43096</v>
      </c>
      <c r="F202" t="s">
        <v>617</v>
      </c>
      <c r="G202">
        <v>2621410271</v>
      </c>
      <c r="H202" t="s">
        <v>20</v>
      </c>
      <c r="I202" t="s">
        <v>15</v>
      </c>
      <c r="J202" t="s">
        <v>16</v>
      </c>
      <c r="K202">
        <v>-2</v>
      </c>
      <c r="L202" s="2">
        <f>IF(LEN(Table1[[#This Row],[phone]]) = 10, Table1[[#This Row],[phone]],"Not Available")</f>
        <v>2621410271</v>
      </c>
    </row>
    <row r="203" spans="1:12" x14ac:dyDescent="0.25">
      <c r="A203" t="s">
        <v>618</v>
      </c>
      <c r="B203" t="s">
        <v>619</v>
      </c>
      <c r="C203">
        <v>39</v>
      </c>
      <c r="D203">
        <v>143886</v>
      </c>
      <c r="E203" s="1">
        <v>45112</v>
      </c>
      <c r="F203" t="s">
        <v>620</v>
      </c>
      <c r="G203">
        <v>8721162834</v>
      </c>
      <c r="H203" t="s">
        <v>20</v>
      </c>
      <c r="I203" t="s">
        <v>29</v>
      </c>
      <c r="J203" t="s">
        <v>16</v>
      </c>
      <c r="K203">
        <v>1.1000000000000001</v>
      </c>
      <c r="L203" s="2">
        <f>IF(LEN(Table1[[#This Row],[phone]]) = 10, Table1[[#This Row],[phone]],"Not Available")</f>
        <v>8721162834</v>
      </c>
    </row>
    <row r="204" spans="1:12" x14ac:dyDescent="0.25">
      <c r="A204" t="s">
        <v>621</v>
      </c>
      <c r="B204" t="s">
        <v>622</v>
      </c>
      <c r="C204">
        <v>20</v>
      </c>
      <c r="D204">
        <v>143886</v>
      </c>
      <c r="E204" s="1">
        <v>44999</v>
      </c>
      <c r="F204" t="s">
        <v>623</v>
      </c>
      <c r="G204">
        <v>1194895264</v>
      </c>
      <c r="H204" t="s">
        <v>20</v>
      </c>
      <c r="I204" t="s">
        <v>15</v>
      </c>
      <c r="J204" t="s">
        <v>16</v>
      </c>
      <c r="K204">
        <v>2.7</v>
      </c>
      <c r="L204" s="2">
        <f>IF(LEN(Table1[[#This Row],[phone]]) = 10, Table1[[#This Row],[phone]],"Not Available")</f>
        <v>1194895264</v>
      </c>
    </row>
    <row r="205" spans="1:12" x14ac:dyDescent="0.25">
      <c r="A205" t="s">
        <v>624</v>
      </c>
      <c r="B205" t="s">
        <v>625</v>
      </c>
      <c r="C205">
        <v>48</v>
      </c>
      <c r="D205">
        <v>143886</v>
      </c>
      <c r="E205" s="1">
        <v>44507</v>
      </c>
      <c r="F205" t="s">
        <v>626</v>
      </c>
      <c r="G205">
        <v>32894</v>
      </c>
      <c r="H205" t="s">
        <v>20</v>
      </c>
      <c r="I205" t="s">
        <v>15</v>
      </c>
      <c r="J205" t="s">
        <v>16</v>
      </c>
      <c r="K205">
        <v>7</v>
      </c>
      <c r="L205" s="2" t="str">
        <f>IF(LEN(Table1[[#This Row],[phone]]) = 10, Table1[[#This Row],[phone]],"Not Available")</f>
        <v>Not Available</v>
      </c>
    </row>
    <row r="206" spans="1:12" x14ac:dyDescent="0.25">
      <c r="A206" t="s">
        <v>627</v>
      </c>
      <c r="B206" t="s">
        <v>628</v>
      </c>
      <c r="C206">
        <v>25</v>
      </c>
      <c r="D206">
        <v>5000</v>
      </c>
      <c r="E206" s="1">
        <v>46040</v>
      </c>
      <c r="F206" t="s">
        <v>629</v>
      </c>
      <c r="G206">
        <v>7770482359</v>
      </c>
      <c r="H206" t="s">
        <v>65</v>
      </c>
      <c r="I206" t="s">
        <v>15</v>
      </c>
      <c r="J206" t="s">
        <v>16</v>
      </c>
      <c r="K206">
        <v>1.3</v>
      </c>
      <c r="L206" s="2">
        <f>IF(LEN(Table1[[#This Row],[phone]]) = 10, Table1[[#This Row],[phone]],"Not Available")</f>
        <v>7770482359</v>
      </c>
    </row>
    <row r="207" spans="1:12" x14ac:dyDescent="0.25">
      <c r="A207" t="s">
        <v>630</v>
      </c>
      <c r="B207" t="s">
        <v>631</v>
      </c>
      <c r="C207">
        <v>48</v>
      </c>
      <c r="D207">
        <v>143886</v>
      </c>
      <c r="E207" s="1">
        <v>42600</v>
      </c>
      <c r="F207" t="s">
        <v>632</v>
      </c>
      <c r="G207">
        <v>5713645438</v>
      </c>
      <c r="H207" t="s">
        <v>20</v>
      </c>
      <c r="I207" t="s">
        <v>15</v>
      </c>
      <c r="J207" t="s">
        <v>16</v>
      </c>
      <c r="K207">
        <v>2.7</v>
      </c>
      <c r="L207" s="2">
        <f>IF(LEN(Table1[[#This Row],[phone]]) = 10, Table1[[#This Row],[phone]],"Not Available")</f>
        <v>5713645438</v>
      </c>
    </row>
    <row r="208" spans="1:12" x14ac:dyDescent="0.25">
      <c r="A208" t="s">
        <v>633</v>
      </c>
      <c r="B208" t="s">
        <v>634</v>
      </c>
      <c r="C208">
        <v>87</v>
      </c>
      <c r="D208">
        <v>406540</v>
      </c>
      <c r="E208" s="1">
        <v>44497</v>
      </c>
      <c r="F208" t="s">
        <v>635</v>
      </c>
      <c r="G208">
        <v>1295977832</v>
      </c>
      <c r="H208" t="s">
        <v>33</v>
      </c>
      <c r="I208" t="s">
        <v>15</v>
      </c>
      <c r="J208" t="s">
        <v>16</v>
      </c>
      <c r="K208">
        <v>2.7</v>
      </c>
      <c r="L208" s="2">
        <f>IF(LEN(Table1[[#This Row],[phone]]) = 10, Table1[[#This Row],[phone]],"Not Available")</f>
        <v>1295977832</v>
      </c>
    </row>
    <row r="209" spans="1:12" x14ac:dyDescent="0.25">
      <c r="A209" t="s">
        <v>636</v>
      </c>
      <c r="B209" t="s">
        <v>637</v>
      </c>
      <c r="C209">
        <v>22</v>
      </c>
      <c r="D209">
        <v>5000</v>
      </c>
      <c r="E209" s="1">
        <v>44626</v>
      </c>
      <c r="F209" t="s">
        <v>69</v>
      </c>
      <c r="G209">
        <v>6836643956</v>
      </c>
      <c r="H209" t="s">
        <v>65</v>
      </c>
      <c r="I209" t="s">
        <v>15</v>
      </c>
      <c r="J209" t="s">
        <v>21</v>
      </c>
      <c r="K209">
        <v>2.7</v>
      </c>
      <c r="L209" s="2">
        <f>IF(LEN(Table1[[#This Row],[phone]]) = 10, Table1[[#This Row],[phone]],"Not Available")</f>
        <v>6836643956</v>
      </c>
    </row>
    <row r="210" spans="1:12" x14ac:dyDescent="0.25">
      <c r="A210" t="s">
        <v>638</v>
      </c>
      <c r="B210" t="s">
        <v>639</v>
      </c>
      <c r="C210">
        <v>73</v>
      </c>
      <c r="D210">
        <v>5000</v>
      </c>
      <c r="E210" s="1">
        <v>43172</v>
      </c>
      <c r="F210" t="s">
        <v>640</v>
      </c>
      <c r="G210">
        <v>1287494344</v>
      </c>
      <c r="H210" t="s">
        <v>65</v>
      </c>
      <c r="I210" t="s">
        <v>15</v>
      </c>
      <c r="J210" t="s">
        <v>16</v>
      </c>
      <c r="K210">
        <v>7</v>
      </c>
      <c r="L210" s="2">
        <f>IF(LEN(Table1[[#This Row],[phone]]) = 10, Table1[[#This Row],[phone]],"Not Available")</f>
        <v>1287494344</v>
      </c>
    </row>
    <row r="211" spans="1:12" x14ac:dyDescent="0.25">
      <c r="A211" t="s">
        <v>641</v>
      </c>
      <c r="B211" t="s">
        <v>642</v>
      </c>
      <c r="C211">
        <v>48</v>
      </c>
      <c r="D211">
        <v>427011</v>
      </c>
      <c r="E211" s="1">
        <v>45254</v>
      </c>
      <c r="F211" t="s">
        <v>643</v>
      </c>
      <c r="G211">
        <v>2658509903</v>
      </c>
      <c r="H211" t="s">
        <v>70</v>
      </c>
      <c r="I211" t="s">
        <v>15</v>
      </c>
      <c r="J211" t="s">
        <v>16</v>
      </c>
      <c r="K211">
        <v>2.7</v>
      </c>
      <c r="L211" s="2">
        <f>IF(LEN(Table1[[#This Row],[phone]]) = 10, Table1[[#This Row],[phone]],"Not Available")</f>
        <v>2658509903</v>
      </c>
    </row>
    <row r="212" spans="1:12" x14ac:dyDescent="0.25">
      <c r="A212" t="s">
        <v>644</v>
      </c>
      <c r="B212" t="s">
        <v>645</v>
      </c>
      <c r="C212">
        <v>48</v>
      </c>
      <c r="D212">
        <v>228014</v>
      </c>
      <c r="E212" s="1">
        <v>43638</v>
      </c>
      <c r="F212" t="s">
        <v>646</v>
      </c>
      <c r="G212">
        <v>2414660280</v>
      </c>
      <c r="H212" t="s">
        <v>65</v>
      </c>
      <c r="I212" t="s">
        <v>29</v>
      </c>
      <c r="J212" t="s">
        <v>21</v>
      </c>
      <c r="K212">
        <v>7</v>
      </c>
      <c r="L212" s="2">
        <f>IF(LEN(Table1[[#This Row],[phone]]) = 10, Table1[[#This Row],[phone]],"Not Available")</f>
        <v>2414660280</v>
      </c>
    </row>
    <row r="213" spans="1:12" x14ac:dyDescent="0.25">
      <c r="A213" t="s">
        <v>647</v>
      </c>
      <c r="B213" t="s">
        <v>648</v>
      </c>
      <c r="C213">
        <v>48</v>
      </c>
      <c r="D213">
        <v>402089</v>
      </c>
      <c r="E213" s="1">
        <v>44952</v>
      </c>
      <c r="F213" t="s">
        <v>649</v>
      </c>
      <c r="G213">
        <v>3019763626</v>
      </c>
      <c r="H213" t="s">
        <v>14</v>
      </c>
      <c r="I213" t="s">
        <v>37</v>
      </c>
      <c r="J213" t="s">
        <v>21</v>
      </c>
      <c r="K213">
        <v>2.7</v>
      </c>
      <c r="L213" s="2">
        <f>IF(LEN(Table1[[#This Row],[phone]]) = 10, Table1[[#This Row],[phone]],"Not Available")</f>
        <v>3019763626</v>
      </c>
    </row>
    <row r="214" spans="1:12" x14ac:dyDescent="0.25">
      <c r="A214" t="s">
        <v>650</v>
      </c>
      <c r="B214" t="s">
        <v>651</v>
      </c>
      <c r="C214">
        <v>48</v>
      </c>
      <c r="D214">
        <v>97916</v>
      </c>
      <c r="E214" s="1">
        <v>43945</v>
      </c>
      <c r="F214" t="s">
        <v>652</v>
      </c>
      <c r="G214">
        <v>6230118475</v>
      </c>
      <c r="H214" t="s">
        <v>65</v>
      </c>
      <c r="I214" t="s">
        <v>15</v>
      </c>
      <c r="J214" t="s">
        <v>21</v>
      </c>
      <c r="K214">
        <v>-2</v>
      </c>
      <c r="L214" s="2">
        <f>IF(LEN(Table1[[#This Row],[phone]]) = 10, Table1[[#This Row],[phone]],"Not Available")</f>
        <v>6230118475</v>
      </c>
    </row>
    <row r="215" spans="1:12" x14ac:dyDescent="0.25">
      <c r="A215" t="s">
        <v>653</v>
      </c>
      <c r="B215" t="s">
        <v>654</v>
      </c>
      <c r="C215">
        <v>84</v>
      </c>
      <c r="D215">
        <v>139905</v>
      </c>
      <c r="E215" s="1">
        <v>43779</v>
      </c>
      <c r="F215" t="s">
        <v>655</v>
      </c>
      <c r="G215">
        <v>3655860660</v>
      </c>
      <c r="H215" t="s">
        <v>20</v>
      </c>
      <c r="I215" t="s">
        <v>15</v>
      </c>
      <c r="J215" t="s">
        <v>21</v>
      </c>
      <c r="K215">
        <v>2.7</v>
      </c>
      <c r="L215" s="2">
        <f>IF(LEN(Table1[[#This Row],[phone]]) = 10, Table1[[#This Row],[phone]],"Not Available")</f>
        <v>3655860660</v>
      </c>
    </row>
    <row r="216" spans="1:12" x14ac:dyDescent="0.25">
      <c r="A216" t="s">
        <v>656</v>
      </c>
      <c r="B216" t="s">
        <v>657</v>
      </c>
      <c r="C216">
        <v>48</v>
      </c>
      <c r="D216">
        <v>5000</v>
      </c>
      <c r="E216" s="1">
        <v>44730</v>
      </c>
      <c r="F216" t="s">
        <v>658</v>
      </c>
      <c r="G216">
        <v>6673253924</v>
      </c>
      <c r="H216" t="s">
        <v>20</v>
      </c>
      <c r="I216" t="s">
        <v>15</v>
      </c>
      <c r="J216" t="s">
        <v>16</v>
      </c>
      <c r="K216">
        <v>-2</v>
      </c>
      <c r="L216" s="2">
        <f>IF(LEN(Table1[[#This Row],[phone]]) = 10, Table1[[#This Row],[phone]],"Not Available")</f>
        <v>6673253924</v>
      </c>
    </row>
    <row r="217" spans="1:12" x14ac:dyDescent="0.25">
      <c r="A217" t="s">
        <v>659</v>
      </c>
      <c r="B217" t="s">
        <v>660</v>
      </c>
      <c r="C217">
        <v>48</v>
      </c>
      <c r="D217">
        <v>143886</v>
      </c>
      <c r="E217" s="1">
        <v>43087</v>
      </c>
      <c r="F217" t="s">
        <v>661</v>
      </c>
      <c r="G217">
        <v>8596034884</v>
      </c>
      <c r="H217" t="s">
        <v>20</v>
      </c>
      <c r="I217" t="s">
        <v>15</v>
      </c>
      <c r="J217" t="s">
        <v>16</v>
      </c>
      <c r="K217">
        <v>4.2</v>
      </c>
      <c r="L217" s="2">
        <f>IF(LEN(Table1[[#This Row],[phone]]) = 10, Table1[[#This Row],[phone]],"Not Available")</f>
        <v>8596034884</v>
      </c>
    </row>
    <row r="218" spans="1:12" x14ac:dyDescent="0.25">
      <c r="A218" t="s">
        <v>662</v>
      </c>
      <c r="B218" t="s">
        <v>663</v>
      </c>
      <c r="C218">
        <v>48</v>
      </c>
      <c r="D218">
        <v>143886</v>
      </c>
      <c r="E218" s="1">
        <v>43146</v>
      </c>
      <c r="F218" t="s">
        <v>664</v>
      </c>
      <c r="G218">
        <v>8489652193</v>
      </c>
      <c r="H218" t="s">
        <v>14</v>
      </c>
      <c r="I218" t="s">
        <v>29</v>
      </c>
      <c r="J218" t="s">
        <v>16</v>
      </c>
      <c r="K218">
        <v>-2</v>
      </c>
      <c r="L218" s="2">
        <f>IF(LEN(Table1[[#This Row],[phone]]) = 10, Table1[[#This Row],[phone]],"Not Available")</f>
        <v>8489652193</v>
      </c>
    </row>
    <row r="219" spans="1:12" x14ac:dyDescent="0.25">
      <c r="A219" t="s">
        <v>665</v>
      </c>
      <c r="B219" t="s">
        <v>666</v>
      </c>
      <c r="C219">
        <v>48</v>
      </c>
      <c r="D219">
        <v>115651</v>
      </c>
      <c r="E219" s="1">
        <v>45821</v>
      </c>
      <c r="F219" t="s">
        <v>667</v>
      </c>
      <c r="G219">
        <v>5140178202</v>
      </c>
      <c r="H219" t="s">
        <v>20</v>
      </c>
      <c r="I219" t="s">
        <v>15</v>
      </c>
      <c r="J219" t="s">
        <v>16</v>
      </c>
      <c r="K219">
        <v>4.2</v>
      </c>
      <c r="L219" s="2">
        <f>IF(LEN(Table1[[#This Row],[phone]]) = 10, Table1[[#This Row],[phone]],"Not Available")</f>
        <v>5140178202</v>
      </c>
    </row>
    <row r="220" spans="1:12" x14ac:dyDescent="0.25">
      <c r="A220" t="s">
        <v>668</v>
      </c>
      <c r="B220" t="s">
        <v>669</v>
      </c>
      <c r="C220">
        <v>25</v>
      </c>
      <c r="D220">
        <v>143886</v>
      </c>
      <c r="E220" s="1">
        <v>45812</v>
      </c>
      <c r="F220" t="s">
        <v>670</v>
      </c>
      <c r="G220">
        <v>1071566649</v>
      </c>
      <c r="H220" t="s">
        <v>70</v>
      </c>
      <c r="I220" t="s">
        <v>15</v>
      </c>
      <c r="J220" t="s">
        <v>16</v>
      </c>
      <c r="K220">
        <v>2.7</v>
      </c>
      <c r="L220" s="2">
        <f>IF(LEN(Table1[[#This Row],[phone]]) = 10, Table1[[#This Row],[phone]],"Not Available")</f>
        <v>1071566649</v>
      </c>
    </row>
    <row r="221" spans="1:12" x14ac:dyDescent="0.25">
      <c r="A221" t="s">
        <v>671</v>
      </c>
      <c r="B221" t="s">
        <v>672</v>
      </c>
      <c r="C221">
        <v>48</v>
      </c>
      <c r="D221">
        <v>5000</v>
      </c>
      <c r="E221" s="1">
        <v>43569</v>
      </c>
      <c r="F221" t="s">
        <v>673</v>
      </c>
      <c r="G221">
        <v>9339812305</v>
      </c>
      <c r="H221" t="s">
        <v>65</v>
      </c>
      <c r="I221" t="s">
        <v>37</v>
      </c>
      <c r="J221" t="s">
        <v>16</v>
      </c>
      <c r="K221">
        <v>7</v>
      </c>
      <c r="L221" s="2">
        <f>IF(LEN(Table1[[#This Row],[phone]]) = 10, Table1[[#This Row],[phone]],"Not Available")</f>
        <v>9339812305</v>
      </c>
    </row>
    <row r="222" spans="1:12" x14ac:dyDescent="0.25">
      <c r="A222" t="s">
        <v>674</v>
      </c>
      <c r="B222" t="s">
        <v>675</v>
      </c>
      <c r="C222">
        <v>22</v>
      </c>
      <c r="D222">
        <v>5000</v>
      </c>
      <c r="E222" s="1">
        <v>44392</v>
      </c>
      <c r="F222" t="s">
        <v>676</v>
      </c>
      <c r="G222">
        <v>9732281062</v>
      </c>
      <c r="H222" t="s">
        <v>14</v>
      </c>
      <c r="I222" t="s">
        <v>29</v>
      </c>
      <c r="J222" t="s">
        <v>21</v>
      </c>
      <c r="K222">
        <v>7</v>
      </c>
      <c r="L222" s="2">
        <f>IF(LEN(Table1[[#This Row],[phone]]) = 10, Table1[[#This Row],[phone]],"Not Available")</f>
        <v>9732281062</v>
      </c>
    </row>
    <row r="223" spans="1:12" x14ac:dyDescent="0.25">
      <c r="A223" t="s">
        <v>677</v>
      </c>
      <c r="B223" t="s">
        <v>678</v>
      </c>
      <c r="C223">
        <v>25</v>
      </c>
      <c r="D223">
        <v>5000</v>
      </c>
      <c r="E223" s="1">
        <v>44387</v>
      </c>
      <c r="F223" t="s">
        <v>679</v>
      </c>
      <c r="G223">
        <v>7440832725</v>
      </c>
      <c r="H223" t="s">
        <v>20</v>
      </c>
      <c r="I223" t="s">
        <v>15</v>
      </c>
      <c r="J223" t="s">
        <v>21</v>
      </c>
      <c r="K223">
        <v>3.7</v>
      </c>
      <c r="L223" s="2">
        <f>IF(LEN(Table1[[#This Row],[phone]]) = 10, Table1[[#This Row],[phone]],"Not Available")</f>
        <v>7440832725</v>
      </c>
    </row>
    <row r="224" spans="1:12" x14ac:dyDescent="0.25">
      <c r="A224" t="s">
        <v>680</v>
      </c>
      <c r="B224" t="s">
        <v>681</v>
      </c>
      <c r="C224">
        <v>86</v>
      </c>
      <c r="D224">
        <v>5000</v>
      </c>
      <c r="E224" s="1">
        <v>44544</v>
      </c>
      <c r="F224" t="s">
        <v>682</v>
      </c>
      <c r="G224">
        <v>82308</v>
      </c>
      <c r="H224" t="s">
        <v>20</v>
      </c>
      <c r="I224" t="s">
        <v>37</v>
      </c>
      <c r="J224" t="s">
        <v>16</v>
      </c>
      <c r="K224">
        <v>-2</v>
      </c>
      <c r="L224" s="2" t="str">
        <f>IF(LEN(Table1[[#This Row],[phone]]) = 10, Table1[[#This Row],[phone]],"Not Available")</f>
        <v>Not Available</v>
      </c>
    </row>
    <row r="225" spans="1:12" x14ac:dyDescent="0.25">
      <c r="A225" t="s">
        <v>683</v>
      </c>
      <c r="B225" t="s">
        <v>684</v>
      </c>
      <c r="C225">
        <v>48</v>
      </c>
      <c r="D225">
        <v>143886</v>
      </c>
      <c r="E225" s="1">
        <v>44637</v>
      </c>
      <c r="F225" t="s">
        <v>685</v>
      </c>
      <c r="G225">
        <v>6180525172</v>
      </c>
      <c r="H225" t="s">
        <v>33</v>
      </c>
      <c r="I225" t="s">
        <v>37</v>
      </c>
      <c r="J225" t="s">
        <v>16</v>
      </c>
      <c r="K225">
        <v>-2</v>
      </c>
      <c r="L225" s="2">
        <f>IF(LEN(Table1[[#This Row],[phone]]) = 10, Table1[[#This Row],[phone]],"Not Available")</f>
        <v>6180525172</v>
      </c>
    </row>
    <row r="226" spans="1:12" x14ac:dyDescent="0.25">
      <c r="A226" t="s">
        <v>686</v>
      </c>
      <c r="B226" t="s">
        <v>687</v>
      </c>
      <c r="C226">
        <v>80</v>
      </c>
      <c r="D226">
        <v>5000</v>
      </c>
      <c r="E226" s="1">
        <v>45930</v>
      </c>
      <c r="F226" t="s">
        <v>688</v>
      </c>
      <c r="G226">
        <v>4640095285</v>
      </c>
      <c r="H226" t="s">
        <v>14</v>
      </c>
      <c r="I226" t="s">
        <v>15</v>
      </c>
      <c r="J226" t="s">
        <v>16</v>
      </c>
      <c r="K226">
        <v>-2</v>
      </c>
      <c r="L226" s="2">
        <f>IF(LEN(Table1[[#This Row],[phone]]) = 10, Table1[[#This Row],[phone]],"Not Available")</f>
        <v>4640095285</v>
      </c>
    </row>
    <row r="227" spans="1:12" x14ac:dyDescent="0.25">
      <c r="A227" t="s">
        <v>689</v>
      </c>
      <c r="B227" t="s">
        <v>690</v>
      </c>
      <c r="C227">
        <v>29</v>
      </c>
      <c r="D227">
        <v>110771</v>
      </c>
      <c r="E227" s="1">
        <v>45590</v>
      </c>
      <c r="F227" t="s">
        <v>691</v>
      </c>
      <c r="G227">
        <v>3547893337</v>
      </c>
      <c r="H227" t="s">
        <v>70</v>
      </c>
      <c r="I227" t="s">
        <v>25</v>
      </c>
      <c r="J227" t="s">
        <v>16</v>
      </c>
      <c r="K227">
        <v>7</v>
      </c>
      <c r="L227" s="2">
        <f>IF(LEN(Table1[[#This Row],[phone]]) = 10, Table1[[#This Row],[phone]],"Not Available")</f>
        <v>3547893337</v>
      </c>
    </row>
    <row r="228" spans="1:12" x14ac:dyDescent="0.25">
      <c r="A228" t="s">
        <v>692</v>
      </c>
      <c r="B228" t="s">
        <v>693</v>
      </c>
      <c r="C228">
        <v>83</v>
      </c>
      <c r="D228">
        <v>290207</v>
      </c>
      <c r="E228" s="1">
        <v>44701</v>
      </c>
      <c r="F228" t="s">
        <v>694</v>
      </c>
      <c r="G228">
        <v>50809</v>
      </c>
      <c r="H228" t="s">
        <v>70</v>
      </c>
      <c r="I228" t="s">
        <v>15</v>
      </c>
      <c r="J228" t="s">
        <v>21</v>
      </c>
      <c r="K228">
        <v>-2</v>
      </c>
      <c r="L228" s="2" t="str">
        <f>IF(LEN(Table1[[#This Row],[phone]]) = 10, Table1[[#This Row],[phone]],"Not Available")</f>
        <v>Not Available</v>
      </c>
    </row>
    <row r="229" spans="1:12" x14ac:dyDescent="0.25">
      <c r="A229" t="s">
        <v>695</v>
      </c>
      <c r="B229" t="s">
        <v>696</v>
      </c>
      <c r="C229">
        <v>48</v>
      </c>
      <c r="D229">
        <v>5000</v>
      </c>
      <c r="E229" s="1">
        <v>44636</v>
      </c>
      <c r="F229" t="s">
        <v>697</v>
      </c>
      <c r="G229">
        <v>8362477084</v>
      </c>
      <c r="H229" t="s">
        <v>20</v>
      </c>
      <c r="I229" t="s">
        <v>29</v>
      </c>
      <c r="J229" t="s">
        <v>16</v>
      </c>
      <c r="K229">
        <v>3.8</v>
      </c>
      <c r="L229" s="2">
        <f>IF(LEN(Table1[[#This Row],[phone]]) = 10, Table1[[#This Row],[phone]],"Not Available")</f>
        <v>8362477084</v>
      </c>
    </row>
    <row r="230" spans="1:12" x14ac:dyDescent="0.25">
      <c r="A230" t="s">
        <v>698</v>
      </c>
      <c r="B230" t="s">
        <v>699</v>
      </c>
      <c r="C230">
        <v>72</v>
      </c>
      <c r="D230">
        <v>143886</v>
      </c>
      <c r="E230" s="1">
        <v>45660</v>
      </c>
      <c r="F230" t="s">
        <v>700</v>
      </c>
      <c r="G230">
        <v>891372577</v>
      </c>
      <c r="H230" t="s">
        <v>65</v>
      </c>
      <c r="I230" t="s">
        <v>15</v>
      </c>
      <c r="J230" t="s">
        <v>16</v>
      </c>
      <c r="K230">
        <v>-2</v>
      </c>
      <c r="L230" s="2" t="str">
        <f>IF(LEN(Table1[[#This Row],[phone]]) = 10, Table1[[#This Row],[phone]],"Not Available")</f>
        <v>Not Available</v>
      </c>
    </row>
    <row r="231" spans="1:12" x14ac:dyDescent="0.25">
      <c r="A231" t="s">
        <v>701</v>
      </c>
      <c r="B231" t="s">
        <v>702</v>
      </c>
      <c r="C231">
        <v>48</v>
      </c>
      <c r="D231">
        <v>474998</v>
      </c>
      <c r="E231" s="1">
        <v>43870</v>
      </c>
      <c r="F231" t="s">
        <v>703</v>
      </c>
      <c r="G231">
        <v>9009942348</v>
      </c>
      <c r="H231" t="s">
        <v>14</v>
      </c>
      <c r="I231" t="s">
        <v>66</v>
      </c>
      <c r="J231" t="s">
        <v>16</v>
      </c>
      <c r="K231">
        <v>7</v>
      </c>
      <c r="L231" s="2">
        <f>IF(LEN(Table1[[#This Row],[phone]]) = 10, Table1[[#This Row],[phone]],"Not Available")</f>
        <v>9009942348</v>
      </c>
    </row>
    <row r="232" spans="1:12" x14ac:dyDescent="0.25">
      <c r="A232" t="s">
        <v>704</v>
      </c>
      <c r="B232" t="s">
        <v>705</v>
      </c>
      <c r="C232">
        <v>48</v>
      </c>
      <c r="D232">
        <v>73818</v>
      </c>
      <c r="E232" s="1">
        <v>45973</v>
      </c>
      <c r="F232" t="s">
        <v>706</v>
      </c>
      <c r="G232">
        <v>4028090288</v>
      </c>
      <c r="H232" t="s">
        <v>14</v>
      </c>
      <c r="I232" t="s">
        <v>25</v>
      </c>
      <c r="J232" t="s">
        <v>21</v>
      </c>
      <c r="K232">
        <v>1.4</v>
      </c>
      <c r="L232" s="2">
        <f>IF(LEN(Table1[[#This Row],[phone]]) = 10, Table1[[#This Row],[phone]],"Not Available")</f>
        <v>4028090288</v>
      </c>
    </row>
    <row r="233" spans="1:12" x14ac:dyDescent="0.25">
      <c r="A233" t="s">
        <v>707</v>
      </c>
      <c r="B233" t="s">
        <v>708</v>
      </c>
      <c r="C233">
        <v>64</v>
      </c>
      <c r="D233">
        <v>179508</v>
      </c>
      <c r="E233" s="1">
        <v>44021</v>
      </c>
      <c r="F233" t="s">
        <v>709</v>
      </c>
      <c r="G233">
        <v>7364072022</v>
      </c>
      <c r="H233" t="s">
        <v>65</v>
      </c>
      <c r="I233" t="s">
        <v>37</v>
      </c>
      <c r="J233" t="s">
        <v>16</v>
      </c>
      <c r="K233">
        <v>7</v>
      </c>
      <c r="L233" s="2">
        <f>IF(LEN(Table1[[#This Row],[phone]]) = 10, Table1[[#This Row],[phone]],"Not Available")</f>
        <v>7364072022</v>
      </c>
    </row>
    <row r="234" spans="1:12" x14ac:dyDescent="0.25">
      <c r="A234" t="s">
        <v>710</v>
      </c>
      <c r="B234" t="s">
        <v>711</v>
      </c>
      <c r="C234">
        <v>25</v>
      </c>
      <c r="D234">
        <v>5000</v>
      </c>
      <c r="E234" s="1">
        <v>42593</v>
      </c>
      <c r="F234" t="s">
        <v>712</v>
      </c>
      <c r="G234">
        <v>75337623</v>
      </c>
      <c r="H234" t="s">
        <v>14</v>
      </c>
      <c r="I234" t="s">
        <v>15</v>
      </c>
      <c r="J234" t="s">
        <v>16</v>
      </c>
      <c r="K234">
        <v>7</v>
      </c>
      <c r="L234" s="2" t="str">
        <f>IF(LEN(Table1[[#This Row],[phone]]) = 10, Table1[[#This Row],[phone]],"Not Available")</f>
        <v>Not Available</v>
      </c>
    </row>
    <row r="235" spans="1:12" x14ac:dyDescent="0.25">
      <c r="A235" t="s">
        <v>713</v>
      </c>
      <c r="B235" t="s">
        <v>714</v>
      </c>
      <c r="C235">
        <v>72</v>
      </c>
      <c r="D235">
        <v>152910</v>
      </c>
      <c r="E235" s="1">
        <v>46083</v>
      </c>
      <c r="F235" t="s">
        <v>715</v>
      </c>
      <c r="G235">
        <v>3458211153</v>
      </c>
      <c r="H235" t="s">
        <v>14</v>
      </c>
      <c r="I235" t="s">
        <v>15</v>
      </c>
      <c r="J235" t="s">
        <v>16</v>
      </c>
      <c r="K235">
        <v>2.7</v>
      </c>
      <c r="L235" s="2">
        <f>IF(LEN(Table1[[#This Row],[phone]]) = 10, Table1[[#This Row],[phone]],"Not Available")</f>
        <v>3458211153</v>
      </c>
    </row>
    <row r="236" spans="1:12" x14ac:dyDescent="0.25">
      <c r="A236" t="s">
        <v>716</v>
      </c>
      <c r="B236" t="s">
        <v>717</v>
      </c>
      <c r="C236">
        <v>48</v>
      </c>
      <c r="D236">
        <v>143886</v>
      </c>
      <c r="E236" s="1">
        <v>43075</v>
      </c>
      <c r="F236" t="s">
        <v>718</v>
      </c>
      <c r="G236">
        <v>9786945781</v>
      </c>
      <c r="H236" t="s">
        <v>70</v>
      </c>
      <c r="I236" t="s">
        <v>29</v>
      </c>
      <c r="J236" t="s">
        <v>21</v>
      </c>
      <c r="K236">
        <v>2.7</v>
      </c>
      <c r="L236" s="2">
        <f>IF(LEN(Table1[[#This Row],[phone]]) = 10, Table1[[#This Row],[phone]],"Not Available")</f>
        <v>9786945781</v>
      </c>
    </row>
    <row r="237" spans="1:12" x14ac:dyDescent="0.25">
      <c r="A237" t="s">
        <v>719</v>
      </c>
      <c r="B237" t="s">
        <v>720</v>
      </c>
      <c r="C237">
        <v>48</v>
      </c>
      <c r="D237">
        <v>5000</v>
      </c>
      <c r="E237" s="1">
        <v>44353</v>
      </c>
      <c r="F237" t="s">
        <v>721</v>
      </c>
      <c r="G237">
        <v>5128901299</v>
      </c>
      <c r="H237" t="s">
        <v>65</v>
      </c>
      <c r="I237" t="s">
        <v>15</v>
      </c>
      <c r="J237" t="s">
        <v>16</v>
      </c>
      <c r="K237">
        <v>2.7</v>
      </c>
      <c r="L237" s="2">
        <f>IF(LEN(Table1[[#This Row],[phone]]) = 10, Table1[[#This Row],[phone]],"Not Available")</f>
        <v>5128901299</v>
      </c>
    </row>
    <row r="238" spans="1:12" x14ac:dyDescent="0.25">
      <c r="A238" t="s">
        <v>722</v>
      </c>
      <c r="B238" t="s">
        <v>723</v>
      </c>
      <c r="C238">
        <v>41</v>
      </c>
      <c r="D238">
        <v>143886</v>
      </c>
      <c r="E238" s="1">
        <v>44366</v>
      </c>
      <c r="F238" t="s">
        <v>724</v>
      </c>
      <c r="G238">
        <v>9882959608</v>
      </c>
      <c r="H238" t="s">
        <v>14</v>
      </c>
      <c r="I238" t="s">
        <v>15</v>
      </c>
      <c r="J238" t="s">
        <v>16</v>
      </c>
      <c r="K238">
        <v>4.3</v>
      </c>
      <c r="L238" s="2">
        <f>IF(LEN(Table1[[#This Row],[phone]]) = 10, Table1[[#This Row],[phone]],"Not Available")</f>
        <v>9882959608</v>
      </c>
    </row>
    <row r="239" spans="1:12" x14ac:dyDescent="0.25">
      <c r="A239" t="s">
        <v>725</v>
      </c>
      <c r="B239" t="s">
        <v>726</v>
      </c>
      <c r="C239">
        <v>33</v>
      </c>
      <c r="D239">
        <v>45893</v>
      </c>
      <c r="E239" s="1">
        <v>43650</v>
      </c>
      <c r="F239" t="s">
        <v>727</v>
      </c>
      <c r="G239">
        <v>2716628851</v>
      </c>
      <c r="H239" t="s">
        <v>20</v>
      </c>
      <c r="I239" t="s">
        <v>25</v>
      </c>
      <c r="J239" t="s">
        <v>16</v>
      </c>
      <c r="K239">
        <v>3.9</v>
      </c>
      <c r="L239" s="2">
        <f>IF(LEN(Table1[[#This Row],[phone]]) = 10, Table1[[#This Row],[phone]],"Not Available")</f>
        <v>2716628851</v>
      </c>
    </row>
    <row r="240" spans="1:12" x14ac:dyDescent="0.25">
      <c r="A240" t="s">
        <v>728</v>
      </c>
      <c r="B240" t="s">
        <v>729</v>
      </c>
      <c r="C240">
        <v>60</v>
      </c>
      <c r="D240">
        <v>50675</v>
      </c>
      <c r="E240" s="1">
        <v>42884</v>
      </c>
      <c r="F240" t="s">
        <v>730</v>
      </c>
      <c r="G240">
        <v>97113</v>
      </c>
      <c r="H240" t="s">
        <v>20</v>
      </c>
      <c r="I240" t="s">
        <v>15</v>
      </c>
      <c r="J240" t="s">
        <v>16</v>
      </c>
      <c r="K240">
        <v>2.7</v>
      </c>
      <c r="L240" s="2" t="str">
        <f>IF(LEN(Table1[[#This Row],[phone]]) = 10, Table1[[#This Row],[phone]],"Not Available")</f>
        <v>Not Available</v>
      </c>
    </row>
    <row r="241" spans="1:12" x14ac:dyDescent="0.25">
      <c r="A241" t="s">
        <v>731</v>
      </c>
      <c r="B241" t="s">
        <v>732</v>
      </c>
      <c r="C241">
        <v>39</v>
      </c>
      <c r="D241">
        <v>5000</v>
      </c>
      <c r="E241" s="1">
        <v>45935</v>
      </c>
      <c r="F241" t="s">
        <v>733</v>
      </c>
      <c r="G241">
        <v>3782112410</v>
      </c>
      <c r="H241" t="s">
        <v>20</v>
      </c>
      <c r="I241" t="s">
        <v>15</v>
      </c>
      <c r="J241" t="s">
        <v>21</v>
      </c>
      <c r="K241">
        <v>3.9</v>
      </c>
      <c r="L241" s="2">
        <f>IF(LEN(Table1[[#This Row],[phone]]) = 10, Table1[[#This Row],[phone]],"Not Available")</f>
        <v>3782112410</v>
      </c>
    </row>
    <row r="242" spans="1:12" x14ac:dyDescent="0.25">
      <c r="A242" t="s">
        <v>734</v>
      </c>
      <c r="B242" t="s">
        <v>735</v>
      </c>
      <c r="C242">
        <v>78</v>
      </c>
      <c r="D242">
        <v>5000</v>
      </c>
      <c r="E242" s="1">
        <v>45556</v>
      </c>
      <c r="F242" t="s">
        <v>736</v>
      </c>
      <c r="G242">
        <v>7994075273</v>
      </c>
      <c r="H242" t="s">
        <v>65</v>
      </c>
      <c r="I242" t="s">
        <v>37</v>
      </c>
      <c r="J242" t="s">
        <v>16</v>
      </c>
      <c r="K242">
        <v>7</v>
      </c>
      <c r="L242" s="2">
        <f>IF(LEN(Table1[[#This Row],[phone]]) = 10, Table1[[#This Row],[phone]],"Not Available")</f>
        <v>7994075273</v>
      </c>
    </row>
    <row r="243" spans="1:12" x14ac:dyDescent="0.25">
      <c r="A243" t="s">
        <v>737</v>
      </c>
      <c r="B243" t="s">
        <v>738</v>
      </c>
      <c r="C243">
        <v>48</v>
      </c>
      <c r="D243">
        <v>143886</v>
      </c>
      <c r="E243" s="1">
        <v>45476</v>
      </c>
      <c r="F243" t="s">
        <v>739</v>
      </c>
      <c r="G243">
        <v>3346701267</v>
      </c>
      <c r="H243" t="s">
        <v>20</v>
      </c>
      <c r="I243" t="s">
        <v>25</v>
      </c>
      <c r="J243" t="s">
        <v>16</v>
      </c>
      <c r="K243">
        <v>2.7</v>
      </c>
      <c r="L243" s="2">
        <f>IF(LEN(Table1[[#This Row],[phone]]) = 10, Table1[[#This Row],[phone]],"Not Available")</f>
        <v>3346701267</v>
      </c>
    </row>
    <row r="244" spans="1:12" x14ac:dyDescent="0.25">
      <c r="A244" t="s">
        <v>740</v>
      </c>
      <c r="B244" t="s">
        <v>741</v>
      </c>
      <c r="C244">
        <v>60</v>
      </c>
      <c r="D244">
        <v>128575</v>
      </c>
      <c r="E244" s="1">
        <v>43998</v>
      </c>
      <c r="F244" t="s">
        <v>742</v>
      </c>
      <c r="G244">
        <v>2858218823</v>
      </c>
      <c r="H244" t="s">
        <v>65</v>
      </c>
      <c r="I244" t="s">
        <v>15</v>
      </c>
      <c r="J244" t="s">
        <v>16</v>
      </c>
      <c r="K244">
        <v>7</v>
      </c>
      <c r="L244" s="2">
        <f>IF(LEN(Table1[[#This Row],[phone]]) = 10, Table1[[#This Row],[phone]],"Not Available")</f>
        <v>2858218823</v>
      </c>
    </row>
    <row r="245" spans="1:12" x14ac:dyDescent="0.25">
      <c r="A245" t="s">
        <v>743</v>
      </c>
      <c r="B245" t="s">
        <v>744</v>
      </c>
      <c r="C245">
        <v>48</v>
      </c>
      <c r="D245">
        <v>441227</v>
      </c>
      <c r="E245" s="1">
        <v>42869</v>
      </c>
      <c r="F245" t="s">
        <v>745</v>
      </c>
      <c r="G245">
        <v>7581901794</v>
      </c>
      <c r="H245" t="s">
        <v>20</v>
      </c>
      <c r="I245" t="s">
        <v>15</v>
      </c>
      <c r="J245" t="s">
        <v>16</v>
      </c>
      <c r="K245">
        <v>7</v>
      </c>
      <c r="L245" s="2">
        <f>IF(LEN(Table1[[#This Row],[phone]]) = 10, Table1[[#This Row],[phone]],"Not Available")</f>
        <v>7581901794</v>
      </c>
    </row>
    <row r="246" spans="1:12" x14ac:dyDescent="0.25">
      <c r="A246" t="s">
        <v>746</v>
      </c>
      <c r="B246" t="s">
        <v>747</v>
      </c>
      <c r="C246">
        <v>51</v>
      </c>
      <c r="D246">
        <v>143886</v>
      </c>
      <c r="E246" s="1">
        <v>42716</v>
      </c>
      <c r="F246" t="s">
        <v>748</v>
      </c>
      <c r="G246">
        <v>7358192418</v>
      </c>
      <c r="H246" t="s">
        <v>20</v>
      </c>
      <c r="I246" t="s">
        <v>15</v>
      </c>
      <c r="J246" t="s">
        <v>16</v>
      </c>
      <c r="K246">
        <v>7</v>
      </c>
      <c r="L246" s="2">
        <f>IF(LEN(Table1[[#This Row],[phone]]) = 10, Table1[[#This Row],[phone]],"Not Available")</f>
        <v>7358192418</v>
      </c>
    </row>
    <row r="247" spans="1:12" x14ac:dyDescent="0.25">
      <c r="A247" t="s">
        <v>749</v>
      </c>
      <c r="B247" t="s">
        <v>311</v>
      </c>
      <c r="C247">
        <v>48</v>
      </c>
      <c r="D247">
        <v>5000</v>
      </c>
      <c r="E247" s="1">
        <v>44301</v>
      </c>
      <c r="F247" t="s">
        <v>750</v>
      </c>
      <c r="G247">
        <v>775385594</v>
      </c>
      <c r="H247" t="s">
        <v>20</v>
      </c>
      <c r="I247" t="s">
        <v>15</v>
      </c>
      <c r="J247" t="s">
        <v>16</v>
      </c>
      <c r="K247">
        <v>-2</v>
      </c>
      <c r="L247" s="2" t="str">
        <f>IF(LEN(Table1[[#This Row],[phone]]) = 10, Table1[[#This Row],[phone]],"Not Available")</f>
        <v>Not Available</v>
      </c>
    </row>
    <row r="248" spans="1:12" x14ac:dyDescent="0.25">
      <c r="A248" t="s">
        <v>751</v>
      </c>
      <c r="B248" t="s">
        <v>752</v>
      </c>
      <c r="C248">
        <v>90</v>
      </c>
      <c r="D248">
        <v>308341</v>
      </c>
      <c r="E248" s="1">
        <v>45156</v>
      </c>
      <c r="F248" t="s">
        <v>753</v>
      </c>
      <c r="G248">
        <v>13170</v>
      </c>
      <c r="H248" t="s">
        <v>65</v>
      </c>
      <c r="I248" t="s">
        <v>66</v>
      </c>
      <c r="J248" t="s">
        <v>16</v>
      </c>
      <c r="K248">
        <v>2.7</v>
      </c>
      <c r="L248" s="2" t="str">
        <f>IF(LEN(Table1[[#This Row],[phone]]) = 10, Table1[[#This Row],[phone]],"Not Available")</f>
        <v>Not Available</v>
      </c>
    </row>
    <row r="249" spans="1:12" x14ac:dyDescent="0.25">
      <c r="A249" t="s">
        <v>754</v>
      </c>
      <c r="B249" t="s">
        <v>755</v>
      </c>
      <c r="C249">
        <v>25</v>
      </c>
      <c r="D249">
        <v>140369</v>
      </c>
      <c r="E249" s="1">
        <v>42802</v>
      </c>
      <c r="F249" t="s">
        <v>756</v>
      </c>
      <c r="G249">
        <v>7089033659</v>
      </c>
      <c r="H249" t="s">
        <v>70</v>
      </c>
      <c r="I249" t="s">
        <v>15</v>
      </c>
      <c r="J249" t="s">
        <v>16</v>
      </c>
      <c r="K249">
        <v>-2</v>
      </c>
      <c r="L249" s="2">
        <f>IF(LEN(Table1[[#This Row],[phone]]) = 10, Table1[[#This Row],[phone]],"Not Available")</f>
        <v>7089033659</v>
      </c>
    </row>
    <row r="250" spans="1:12" x14ac:dyDescent="0.25">
      <c r="A250" t="s">
        <v>757</v>
      </c>
      <c r="B250" t="s">
        <v>758</v>
      </c>
      <c r="C250">
        <v>25</v>
      </c>
      <c r="D250">
        <v>143886</v>
      </c>
      <c r="E250" s="1">
        <v>46056</v>
      </c>
      <c r="F250" t="s">
        <v>759</v>
      </c>
      <c r="G250">
        <v>4511941773</v>
      </c>
      <c r="H250" t="s">
        <v>20</v>
      </c>
      <c r="I250" t="s">
        <v>66</v>
      </c>
      <c r="J250" t="s">
        <v>21</v>
      </c>
      <c r="K250">
        <v>2.7</v>
      </c>
      <c r="L250" s="2">
        <f>IF(LEN(Table1[[#This Row],[phone]]) = 10, Table1[[#This Row],[phone]],"Not Available")</f>
        <v>4511941773</v>
      </c>
    </row>
    <row r="251" spans="1:12" x14ac:dyDescent="0.25">
      <c r="A251" t="s">
        <v>760</v>
      </c>
      <c r="B251" t="s">
        <v>761</v>
      </c>
      <c r="C251">
        <v>48</v>
      </c>
      <c r="D251">
        <v>143886</v>
      </c>
      <c r="E251" s="1">
        <v>43423</v>
      </c>
      <c r="F251" t="s">
        <v>762</v>
      </c>
      <c r="G251">
        <v>86197</v>
      </c>
      <c r="H251" t="s">
        <v>20</v>
      </c>
      <c r="I251" t="s">
        <v>29</v>
      </c>
      <c r="J251" t="s">
        <v>16</v>
      </c>
      <c r="K251">
        <v>3.3</v>
      </c>
      <c r="L251" s="2" t="str">
        <f>IF(LEN(Table1[[#This Row],[phone]]) = 10, Table1[[#This Row],[phone]],"Not Available")</f>
        <v>Not Available</v>
      </c>
    </row>
    <row r="252" spans="1:12" x14ac:dyDescent="0.25">
      <c r="A252" t="s">
        <v>763</v>
      </c>
      <c r="B252" t="s">
        <v>764</v>
      </c>
      <c r="C252">
        <v>48</v>
      </c>
      <c r="D252">
        <v>241895</v>
      </c>
      <c r="E252" s="1">
        <v>43398</v>
      </c>
      <c r="F252" t="s">
        <v>765</v>
      </c>
      <c r="G252">
        <v>6624314799</v>
      </c>
      <c r="H252" t="s">
        <v>65</v>
      </c>
      <c r="I252" t="s">
        <v>29</v>
      </c>
      <c r="J252" t="s">
        <v>16</v>
      </c>
      <c r="K252">
        <v>2.7</v>
      </c>
      <c r="L252" s="2">
        <f>IF(LEN(Table1[[#This Row],[phone]]) = 10, Table1[[#This Row],[phone]],"Not Available")</f>
        <v>6624314799</v>
      </c>
    </row>
    <row r="253" spans="1:12" x14ac:dyDescent="0.25">
      <c r="A253" t="s">
        <v>766</v>
      </c>
      <c r="B253" t="s">
        <v>767</v>
      </c>
      <c r="C253">
        <v>48</v>
      </c>
      <c r="D253">
        <v>143886</v>
      </c>
      <c r="E253" s="1">
        <v>42940</v>
      </c>
      <c r="F253" t="s">
        <v>768</v>
      </c>
      <c r="G253">
        <v>582274854</v>
      </c>
      <c r="H253" t="s">
        <v>65</v>
      </c>
      <c r="I253" t="s">
        <v>15</v>
      </c>
      <c r="J253" t="s">
        <v>21</v>
      </c>
      <c r="K253">
        <v>2.7</v>
      </c>
      <c r="L253" s="2" t="str">
        <f>IF(LEN(Table1[[#This Row],[phone]]) = 10, Table1[[#This Row],[phone]],"Not Available")</f>
        <v>Not Available</v>
      </c>
    </row>
    <row r="254" spans="1:12" x14ac:dyDescent="0.25">
      <c r="A254" t="s">
        <v>769</v>
      </c>
      <c r="B254" t="s">
        <v>770</v>
      </c>
      <c r="C254">
        <v>25</v>
      </c>
      <c r="D254">
        <v>143886</v>
      </c>
      <c r="E254" s="1">
        <v>44661</v>
      </c>
      <c r="F254" t="s">
        <v>771</v>
      </c>
      <c r="G254">
        <v>6596946004</v>
      </c>
      <c r="H254" t="s">
        <v>20</v>
      </c>
      <c r="I254" t="s">
        <v>66</v>
      </c>
      <c r="J254" t="s">
        <v>21</v>
      </c>
      <c r="K254">
        <v>2.7</v>
      </c>
      <c r="L254" s="2">
        <f>IF(LEN(Table1[[#This Row],[phone]]) = 10, Table1[[#This Row],[phone]],"Not Available")</f>
        <v>6596946004</v>
      </c>
    </row>
    <row r="255" spans="1:12" x14ac:dyDescent="0.25">
      <c r="A255" t="s">
        <v>772</v>
      </c>
      <c r="B255" t="s">
        <v>773</v>
      </c>
      <c r="C255">
        <v>27</v>
      </c>
      <c r="D255">
        <v>5000</v>
      </c>
      <c r="E255" s="1">
        <v>44094</v>
      </c>
      <c r="F255" t="s">
        <v>774</v>
      </c>
      <c r="G255">
        <v>3161471379</v>
      </c>
      <c r="H255" t="s">
        <v>70</v>
      </c>
      <c r="I255" t="s">
        <v>37</v>
      </c>
      <c r="J255" t="s">
        <v>21</v>
      </c>
      <c r="K255">
        <v>3.6</v>
      </c>
      <c r="L255" s="2">
        <f>IF(LEN(Table1[[#This Row],[phone]]) = 10, Table1[[#This Row],[phone]],"Not Available")</f>
        <v>3161471379</v>
      </c>
    </row>
    <row r="256" spans="1:12" x14ac:dyDescent="0.25">
      <c r="A256" t="s">
        <v>775</v>
      </c>
      <c r="B256" t="s">
        <v>776</v>
      </c>
      <c r="C256">
        <v>61</v>
      </c>
      <c r="D256">
        <v>143886</v>
      </c>
      <c r="E256" s="1">
        <v>44462</v>
      </c>
      <c r="F256" t="s">
        <v>777</v>
      </c>
      <c r="G256">
        <v>8817871293</v>
      </c>
      <c r="H256" t="s">
        <v>33</v>
      </c>
      <c r="I256" t="s">
        <v>25</v>
      </c>
      <c r="J256" t="s">
        <v>21</v>
      </c>
      <c r="K256">
        <v>-2</v>
      </c>
      <c r="L256" s="2">
        <f>IF(LEN(Table1[[#This Row],[phone]]) = 10, Table1[[#This Row],[phone]],"Not Available")</f>
        <v>8817871293</v>
      </c>
    </row>
    <row r="257" spans="1:12" x14ac:dyDescent="0.25">
      <c r="A257" t="s">
        <v>778</v>
      </c>
      <c r="B257" t="s">
        <v>779</v>
      </c>
      <c r="C257">
        <v>48</v>
      </c>
      <c r="D257">
        <v>143886</v>
      </c>
      <c r="E257" s="1">
        <v>45127</v>
      </c>
      <c r="F257" t="s">
        <v>780</v>
      </c>
      <c r="G257">
        <v>9044578070</v>
      </c>
      <c r="H257" t="s">
        <v>20</v>
      </c>
      <c r="I257" t="s">
        <v>15</v>
      </c>
      <c r="J257" t="s">
        <v>16</v>
      </c>
      <c r="K257">
        <v>4.5</v>
      </c>
      <c r="L257" s="2">
        <f>IF(LEN(Table1[[#This Row],[phone]]) = 10, Table1[[#This Row],[phone]],"Not Available")</f>
        <v>9044578070</v>
      </c>
    </row>
    <row r="258" spans="1:12" x14ac:dyDescent="0.25">
      <c r="A258" t="s">
        <v>781</v>
      </c>
      <c r="B258" t="s">
        <v>782</v>
      </c>
      <c r="C258">
        <v>60</v>
      </c>
      <c r="D258">
        <v>5000</v>
      </c>
      <c r="E258" s="1">
        <v>43936</v>
      </c>
      <c r="F258" t="s">
        <v>783</v>
      </c>
      <c r="G258">
        <v>6167430866</v>
      </c>
      <c r="H258" t="s">
        <v>70</v>
      </c>
      <c r="I258" t="s">
        <v>15</v>
      </c>
      <c r="J258" t="s">
        <v>16</v>
      </c>
      <c r="K258">
        <v>2.7</v>
      </c>
      <c r="L258" s="2">
        <f>IF(LEN(Table1[[#This Row],[phone]]) = 10, Table1[[#This Row],[phone]],"Not Available")</f>
        <v>6167430866</v>
      </c>
    </row>
    <row r="259" spans="1:12" x14ac:dyDescent="0.25">
      <c r="A259" t="s">
        <v>784</v>
      </c>
      <c r="B259" t="s">
        <v>785</v>
      </c>
      <c r="C259">
        <v>25</v>
      </c>
      <c r="D259">
        <v>143886</v>
      </c>
      <c r="E259" s="1">
        <v>46050</v>
      </c>
      <c r="F259" t="s">
        <v>786</v>
      </c>
      <c r="G259">
        <v>1074934635</v>
      </c>
      <c r="H259" t="s">
        <v>33</v>
      </c>
      <c r="I259" t="s">
        <v>25</v>
      </c>
      <c r="J259" t="s">
        <v>16</v>
      </c>
      <c r="K259">
        <v>2.7</v>
      </c>
      <c r="L259" s="2">
        <f>IF(LEN(Table1[[#This Row],[phone]]) = 10, Table1[[#This Row],[phone]],"Not Available")</f>
        <v>1074934635</v>
      </c>
    </row>
    <row r="260" spans="1:12" x14ac:dyDescent="0.25">
      <c r="A260" t="s">
        <v>787</v>
      </c>
      <c r="B260" t="s">
        <v>788</v>
      </c>
      <c r="C260">
        <v>90</v>
      </c>
      <c r="D260">
        <v>143886</v>
      </c>
      <c r="E260" s="1">
        <v>44283</v>
      </c>
      <c r="F260" t="s">
        <v>789</v>
      </c>
      <c r="G260">
        <v>6695961204</v>
      </c>
      <c r="H260" t="s">
        <v>14</v>
      </c>
      <c r="I260" t="s">
        <v>15</v>
      </c>
      <c r="J260" t="s">
        <v>21</v>
      </c>
      <c r="K260">
        <v>1.9</v>
      </c>
      <c r="L260" s="2">
        <f>IF(LEN(Table1[[#This Row],[phone]]) = 10, Table1[[#This Row],[phone]],"Not Available")</f>
        <v>6695961204</v>
      </c>
    </row>
    <row r="261" spans="1:12" x14ac:dyDescent="0.25">
      <c r="A261" t="s">
        <v>790</v>
      </c>
      <c r="B261" t="s">
        <v>791</v>
      </c>
      <c r="C261">
        <v>83</v>
      </c>
      <c r="D261">
        <v>285611</v>
      </c>
      <c r="E261" s="1">
        <v>43606</v>
      </c>
      <c r="F261" t="s">
        <v>792</v>
      </c>
      <c r="G261">
        <v>84582</v>
      </c>
      <c r="H261" t="s">
        <v>70</v>
      </c>
      <c r="I261" t="s">
        <v>29</v>
      </c>
      <c r="J261" t="s">
        <v>21</v>
      </c>
      <c r="K261">
        <v>2.7</v>
      </c>
      <c r="L261" s="2" t="str">
        <f>IF(LEN(Table1[[#This Row],[phone]]) = 10, Table1[[#This Row],[phone]],"Not Available")</f>
        <v>Not Available</v>
      </c>
    </row>
    <row r="262" spans="1:12" x14ac:dyDescent="0.25">
      <c r="A262" t="s">
        <v>793</v>
      </c>
      <c r="B262" t="s">
        <v>794</v>
      </c>
      <c r="C262">
        <v>48</v>
      </c>
      <c r="D262">
        <v>135386</v>
      </c>
      <c r="E262" s="1">
        <v>44815</v>
      </c>
      <c r="F262" t="s">
        <v>795</v>
      </c>
      <c r="G262">
        <v>1571322038</v>
      </c>
      <c r="H262" t="s">
        <v>20</v>
      </c>
      <c r="I262" t="s">
        <v>15</v>
      </c>
      <c r="J262" t="s">
        <v>16</v>
      </c>
      <c r="K262">
        <v>2.8</v>
      </c>
      <c r="L262" s="2">
        <f>IF(LEN(Table1[[#This Row],[phone]]) = 10, Table1[[#This Row],[phone]],"Not Available")</f>
        <v>1571322038</v>
      </c>
    </row>
    <row r="263" spans="1:12" x14ac:dyDescent="0.25">
      <c r="A263" t="s">
        <v>796</v>
      </c>
      <c r="B263" t="s">
        <v>797</v>
      </c>
      <c r="C263">
        <v>25</v>
      </c>
      <c r="D263">
        <v>143886</v>
      </c>
      <c r="E263" s="1">
        <v>43856</v>
      </c>
      <c r="F263" t="s">
        <v>798</v>
      </c>
      <c r="G263">
        <v>6717719851</v>
      </c>
      <c r="H263" t="s">
        <v>20</v>
      </c>
      <c r="I263" t="s">
        <v>66</v>
      </c>
      <c r="J263" t="s">
        <v>16</v>
      </c>
      <c r="K263">
        <v>2.7</v>
      </c>
      <c r="L263" s="2">
        <f>IF(LEN(Table1[[#This Row],[phone]]) = 10, Table1[[#This Row],[phone]],"Not Available")</f>
        <v>6717719851</v>
      </c>
    </row>
    <row r="264" spans="1:12" x14ac:dyDescent="0.25">
      <c r="A264" t="s">
        <v>799</v>
      </c>
      <c r="B264" t="s">
        <v>800</v>
      </c>
      <c r="C264">
        <v>25</v>
      </c>
      <c r="D264">
        <v>294745</v>
      </c>
      <c r="E264" s="1">
        <v>44302</v>
      </c>
      <c r="F264" t="s">
        <v>801</v>
      </c>
      <c r="G264">
        <v>6901629337</v>
      </c>
      <c r="H264" t="s">
        <v>65</v>
      </c>
      <c r="I264" t="s">
        <v>37</v>
      </c>
      <c r="J264" t="s">
        <v>16</v>
      </c>
      <c r="K264">
        <v>2.7</v>
      </c>
      <c r="L264" s="2">
        <f>IF(LEN(Table1[[#This Row],[phone]]) = 10, Table1[[#This Row],[phone]],"Not Available")</f>
        <v>6901629337</v>
      </c>
    </row>
    <row r="265" spans="1:12" x14ac:dyDescent="0.25">
      <c r="A265" t="s">
        <v>802</v>
      </c>
      <c r="B265" t="s">
        <v>803</v>
      </c>
      <c r="C265">
        <v>48</v>
      </c>
      <c r="D265">
        <v>5000</v>
      </c>
      <c r="E265" s="1">
        <v>46330</v>
      </c>
      <c r="F265" t="s">
        <v>804</v>
      </c>
      <c r="G265">
        <v>933915074</v>
      </c>
      <c r="H265" t="s">
        <v>65</v>
      </c>
      <c r="I265" t="s">
        <v>25</v>
      </c>
      <c r="J265" t="s">
        <v>21</v>
      </c>
      <c r="K265">
        <v>1.7</v>
      </c>
      <c r="L265" s="2" t="str">
        <f>IF(LEN(Table1[[#This Row],[phone]]) = 10, Table1[[#This Row],[phone]],"Not Available")</f>
        <v>Not Available</v>
      </c>
    </row>
    <row r="266" spans="1:12" x14ac:dyDescent="0.25">
      <c r="A266" t="s">
        <v>805</v>
      </c>
      <c r="B266" t="s">
        <v>806</v>
      </c>
      <c r="C266">
        <v>26</v>
      </c>
      <c r="D266">
        <v>238588</v>
      </c>
      <c r="E266" s="1">
        <v>42747</v>
      </c>
      <c r="F266" t="s">
        <v>807</v>
      </c>
      <c r="G266">
        <v>8743796096</v>
      </c>
      <c r="H266" t="s">
        <v>14</v>
      </c>
      <c r="I266" t="s">
        <v>15</v>
      </c>
      <c r="J266" t="s">
        <v>16</v>
      </c>
      <c r="K266">
        <v>-2</v>
      </c>
      <c r="L266" s="2">
        <f>IF(LEN(Table1[[#This Row],[phone]]) = 10, Table1[[#This Row],[phone]],"Not Available")</f>
        <v>8743796096</v>
      </c>
    </row>
    <row r="267" spans="1:12" x14ac:dyDescent="0.25">
      <c r="A267" t="s">
        <v>808</v>
      </c>
      <c r="B267" t="s">
        <v>809</v>
      </c>
      <c r="C267">
        <v>25</v>
      </c>
      <c r="D267">
        <v>143886</v>
      </c>
      <c r="E267" s="1">
        <v>45579</v>
      </c>
      <c r="F267" t="s">
        <v>810</v>
      </c>
      <c r="G267">
        <v>6285339978</v>
      </c>
      <c r="H267" t="s">
        <v>70</v>
      </c>
      <c r="I267" t="s">
        <v>66</v>
      </c>
      <c r="J267" t="s">
        <v>16</v>
      </c>
      <c r="K267">
        <v>-2</v>
      </c>
      <c r="L267" s="2">
        <f>IF(LEN(Table1[[#This Row],[phone]]) = 10, Table1[[#This Row],[phone]],"Not Available")</f>
        <v>6285339978</v>
      </c>
    </row>
    <row r="268" spans="1:12" x14ac:dyDescent="0.25">
      <c r="A268" t="s">
        <v>811</v>
      </c>
      <c r="B268" t="s">
        <v>812</v>
      </c>
      <c r="C268">
        <v>25</v>
      </c>
      <c r="D268">
        <v>5000</v>
      </c>
      <c r="E268" s="1">
        <v>44024</v>
      </c>
      <c r="F268" t="s">
        <v>813</v>
      </c>
      <c r="G268">
        <v>3669352986</v>
      </c>
      <c r="H268" t="s">
        <v>33</v>
      </c>
      <c r="I268" t="s">
        <v>15</v>
      </c>
      <c r="J268" t="s">
        <v>21</v>
      </c>
      <c r="K268">
        <v>4.4000000000000004</v>
      </c>
      <c r="L268" s="2">
        <f>IF(LEN(Table1[[#This Row],[phone]]) = 10, Table1[[#This Row],[phone]],"Not Available")</f>
        <v>3669352986</v>
      </c>
    </row>
    <row r="269" spans="1:12" x14ac:dyDescent="0.25">
      <c r="A269" t="s">
        <v>814</v>
      </c>
      <c r="B269" t="s">
        <v>815</v>
      </c>
      <c r="C269">
        <v>48</v>
      </c>
      <c r="D269">
        <v>110457</v>
      </c>
      <c r="E269" s="1">
        <v>42591</v>
      </c>
      <c r="F269" t="s">
        <v>816</v>
      </c>
      <c r="G269">
        <v>5840104391</v>
      </c>
      <c r="H269" t="s">
        <v>70</v>
      </c>
      <c r="I269" t="s">
        <v>29</v>
      </c>
      <c r="J269" t="s">
        <v>16</v>
      </c>
      <c r="K269">
        <v>7</v>
      </c>
      <c r="L269" s="2">
        <f>IF(LEN(Table1[[#This Row],[phone]]) = 10, Table1[[#This Row],[phone]],"Not Available")</f>
        <v>5840104391</v>
      </c>
    </row>
    <row r="270" spans="1:12" x14ac:dyDescent="0.25">
      <c r="A270" t="s">
        <v>817</v>
      </c>
      <c r="B270" t="s">
        <v>818</v>
      </c>
      <c r="C270">
        <v>48</v>
      </c>
      <c r="D270">
        <v>5000</v>
      </c>
      <c r="E270" s="1">
        <v>43908</v>
      </c>
      <c r="F270" t="s">
        <v>819</v>
      </c>
      <c r="G270">
        <v>7637750618</v>
      </c>
      <c r="H270" t="s">
        <v>33</v>
      </c>
      <c r="I270" t="s">
        <v>15</v>
      </c>
      <c r="J270" t="s">
        <v>21</v>
      </c>
      <c r="K270">
        <v>-2</v>
      </c>
      <c r="L270" s="2">
        <f>IF(LEN(Table1[[#This Row],[phone]]) = 10, Table1[[#This Row],[phone]],"Not Available")</f>
        <v>7637750618</v>
      </c>
    </row>
    <row r="271" spans="1:12" x14ac:dyDescent="0.25">
      <c r="A271" t="s">
        <v>820</v>
      </c>
      <c r="B271" t="s">
        <v>821</v>
      </c>
      <c r="C271">
        <v>67</v>
      </c>
      <c r="D271">
        <v>143886</v>
      </c>
      <c r="E271" s="1">
        <v>44997</v>
      </c>
      <c r="F271" t="s">
        <v>822</v>
      </c>
      <c r="G271">
        <v>3216345620</v>
      </c>
      <c r="H271" t="s">
        <v>20</v>
      </c>
      <c r="I271" t="s">
        <v>15</v>
      </c>
      <c r="J271" t="s">
        <v>21</v>
      </c>
      <c r="K271">
        <v>7</v>
      </c>
      <c r="L271" s="2">
        <f>IF(LEN(Table1[[#This Row],[phone]]) = 10, Table1[[#This Row],[phone]],"Not Available")</f>
        <v>3216345620</v>
      </c>
    </row>
    <row r="272" spans="1:12" x14ac:dyDescent="0.25">
      <c r="A272" t="s">
        <v>823</v>
      </c>
      <c r="B272" t="s">
        <v>824</v>
      </c>
      <c r="C272">
        <v>48</v>
      </c>
      <c r="D272">
        <v>143886</v>
      </c>
      <c r="E272" s="1">
        <v>45214</v>
      </c>
      <c r="F272" t="s">
        <v>825</v>
      </c>
      <c r="G272">
        <v>9400004999</v>
      </c>
      <c r="H272" t="s">
        <v>20</v>
      </c>
      <c r="I272" t="s">
        <v>15</v>
      </c>
      <c r="J272" t="s">
        <v>16</v>
      </c>
      <c r="K272">
        <v>7</v>
      </c>
      <c r="L272" s="2">
        <f>IF(LEN(Table1[[#This Row],[phone]]) = 10, Table1[[#This Row],[phone]],"Not Available")</f>
        <v>9400004999</v>
      </c>
    </row>
    <row r="273" spans="1:12" x14ac:dyDescent="0.25">
      <c r="A273" t="s">
        <v>826</v>
      </c>
      <c r="B273" t="s">
        <v>827</v>
      </c>
      <c r="C273">
        <v>48</v>
      </c>
      <c r="D273">
        <v>5000</v>
      </c>
      <c r="E273" s="1">
        <v>45036</v>
      </c>
      <c r="F273" t="s">
        <v>828</v>
      </c>
      <c r="G273">
        <v>4269247504</v>
      </c>
      <c r="H273" t="s">
        <v>20</v>
      </c>
      <c r="I273" t="s">
        <v>15</v>
      </c>
      <c r="J273" t="s">
        <v>16</v>
      </c>
      <c r="K273">
        <v>2.1</v>
      </c>
      <c r="L273" s="2">
        <f>IF(LEN(Table1[[#This Row],[phone]]) = 10, Table1[[#This Row],[phone]],"Not Available")</f>
        <v>4269247504</v>
      </c>
    </row>
    <row r="274" spans="1:12" x14ac:dyDescent="0.25">
      <c r="A274" t="s">
        <v>829</v>
      </c>
      <c r="B274" t="s">
        <v>830</v>
      </c>
      <c r="C274">
        <v>48</v>
      </c>
      <c r="D274">
        <v>143886</v>
      </c>
      <c r="E274" s="1">
        <v>45048</v>
      </c>
      <c r="F274" t="s">
        <v>831</v>
      </c>
      <c r="G274">
        <v>7374748144</v>
      </c>
      <c r="H274" t="s">
        <v>14</v>
      </c>
      <c r="I274" t="s">
        <v>66</v>
      </c>
      <c r="J274" t="s">
        <v>21</v>
      </c>
      <c r="K274">
        <v>7</v>
      </c>
      <c r="L274" s="2">
        <f>IF(LEN(Table1[[#This Row],[phone]]) = 10, Table1[[#This Row],[phone]],"Not Available")</f>
        <v>7374748144</v>
      </c>
    </row>
    <row r="275" spans="1:12" x14ac:dyDescent="0.25">
      <c r="A275" t="s">
        <v>832</v>
      </c>
      <c r="B275" t="s">
        <v>833</v>
      </c>
      <c r="C275">
        <v>26</v>
      </c>
      <c r="D275">
        <v>5000</v>
      </c>
      <c r="E275" s="1">
        <v>46036</v>
      </c>
      <c r="F275" t="s">
        <v>834</v>
      </c>
      <c r="G275">
        <v>8323947173</v>
      </c>
      <c r="H275" t="s">
        <v>20</v>
      </c>
      <c r="I275" t="s">
        <v>29</v>
      </c>
      <c r="J275" t="s">
        <v>16</v>
      </c>
      <c r="K275">
        <v>7</v>
      </c>
      <c r="L275" s="2">
        <f>IF(LEN(Table1[[#This Row],[phone]]) = 10, Table1[[#This Row],[phone]],"Not Available")</f>
        <v>8323947173</v>
      </c>
    </row>
    <row r="276" spans="1:12" x14ac:dyDescent="0.25">
      <c r="A276" t="s">
        <v>835</v>
      </c>
      <c r="B276" t="s">
        <v>836</v>
      </c>
      <c r="C276">
        <v>70</v>
      </c>
      <c r="D276">
        <v>89195</v>
      </c>
      <c r="E276" s="1">
        <v>45464</v>
      </c>
      <c r="F276" t="s">
        <v>837</v>
      </c>
      <c r="G276">
        <v>2512981595</v>
      </c>
      <c r="H276" t="s">
        <v>33</v>
      </c>
      <c r="I276" t="s">
        <v>25</v>
      </c>
      <c r="J276" t="s">
        <v>16</v>
      </c>
      <c r="K276">
        <v>7</v>
      </c>
      <c r="L276" s="2">
        <f>IF(LEN(Table1[[#This Row],[phone]]) = 10, Table1[[#This Row],[phone]],"Not Available")</f>
        <v>2512981595</v>
      </c>
    </row>
    <row r="277" spans="1:12" x14ac:dyDescent="0.25">
      <c r="A277" t="s">
        <v>838</v>
      </c>
      <c r="B277" t="s">
        <v>839</v>
      </c>
      <c r="C277">
        <v>80</v>
      </c>
      <c r="D277">
        <v>90275</v>
      </c>
      <c r="E277" s="1">
        <v>44220</v>
      </c>
      <c r="F277" t="s">
        <v>840</v>
      </c>
      <c r="G277">
        <v>7522812070</v>
      </c>
      <c r="H277" t="s">
        <v>65</v>
      </c>
      <c r="I277" t="s">
        <v>15</v>
      </c>
      <c r="J277" t="s">
        <v>16</v>
      </c>
      <c r="K277">
        <v>-2</v>
      </c>
      <c r="L277" s="2">
        <f>IF(LEN(Table1[[#This Row],[phone]]) = 10, Table1[[#This Row],[phone]],"Not Available")</f>
        <v>7522812070</v>
      </c>
    </row>
    <row r="278" spans="1:12" x14ac:dyDescent="0.25">
      <c r="A278" t="s">
        <v>841</v>
      </c>
      <c r="B278" t="s">
        <v>842</v>
      </c>
      <c r="C278">
        <v>48</v>
      </c>
      <c r="D278">
        <v>182520</v>
      </c>
      <c r="E278" s="1">
        <v>43157</v>
      </c>
      <c r="F278" t="s">
        <v>843</v>
      </c>
      <c r="G278">
        <v>3858792286</v>
      </c>
      <c r="H278" t="s">
        <v>14</v>
      </c>
      <c r="I278" t="s">
        <v>25</v>
      </c>
      <c r="J278" t="s">
        <v>16</v>
      </c>
      <c r="K278">
        <v>7</v>
      </c>
      <c r="L278" s="2">
        <f>IF(LEN(Table1[[#This Row],[phone]]) = 10, Table1[[#This Row],[phone]],"Not Available")</f>
        <v>3858792286</v>
      </c>
    </row>
    <row r="279" spans="1:12" x14ac:dyDescent="0.25">
      <c r="A279" t="s">
        <v>844</v>
      </c>
      <c r="B279" t="s">
        <v>845</v>
      </c>
      <c r="C279">
        <v>48</v>
      </c>
      <c r="D279">
        <v>143886</v>
      </c>
      <c r="E279" s="1">
        <v>46094</v>
      </c>
      <c r="F279" t="s">
        <v>846</v>
      </c>
      <c r="G279">
        <v>5108588362</v>
      </c>
      <c r="H279" t="s">
        <v>33</v>
      </c>
      <c r="I279" t="s">
        <v>29</v>
      </c>
      <c r="J279" t="s">
        <v>16</v>
      </c>
      <c r="K279">
        <v>7</v>
      </c>
      <c r="L279" s="2">
        <f>IF(LEN(Table1[[#This Row],[phone]]) = 10, Table1[[#This Row],[phone]],"Not Available")</f>
        <v>5108588362</v>
      </c>
    </row>
    <row r="280" spans="1:12" x14ac:dyDescent="0.25">
      <c r="A280" t="s">
        <v>847</v>
      </c>
      <c r="B280" t="s">
        <v>848</v>
      </c>
      <c r="C280">
        <v>25</v>
      </c>
      <c r="D280">
        <v>205657</v>
      </c>
      <c r="E280" s="1">
        <v>43276</v>
      </c>
      <c r="F280" t="s">
        <v>849</v>
      </c>
      <c r="G280">
        <v>9434436671</v>
      </c>
      <c r="H280" t="s">
        <v>20</v>
      </c>
      <c r="I280" t="s">
        <v>15</v>
      </c>
      <c r="J280" t="s">
        <v>16</v>
      </c>
      <c r="K280">
        <v>2.7</v>
      </c>
      <c r="L280" s="2">
        <f>IF(LEN(Table1[[#This Row],[phone]]) = 10, Table1[[#This Row],[phone]],"Not Available")</f>
        <v>9434436671</v>
      </c>
    </row>
    <row r="281" spans="1:12" x14ac:dyDescent="0.25">
      <c r="A281" t="s">
        <v>850</v>
      </c>
      <c r="B281" t="s">
        <v>851</v>
      </c>
      <c r="C281">
        <v>25</v>
      </c>
      <c r="D281">
        <v>97489</v>
      </c>
      <c r="E281" s="1">
        <v>43547</v>
      </c>
      <c r="F281" t="s">
        <v>852</v>
      </c>
      <c r="G281">
        <v>546548194</v>
      </c>
      <c r="H281" t="s">
        <v>20</v>
      </c>
      <c r="I281" t="s">
        <v>66</v>
      </c>
      <c r="J281" t="s">
        <v>21</v>
      </c>
      <c r="K281">
        <v>3.6</v>
      </c>
      <c r="L281" s="2" t="str">
        <f>IF(LEN(Table1[[#This Row],[phone]]) = 10, Table1[[#This Row],[phone]],"Not Available")</f>
        <v>Not Available</v>
      </c>
    </row>
    <row r="282" spans="1:12" x14ac:dyDescent="0.25">
      <c r="A282" t="s">
        <v>853</v>
      </c>
      <c r="B282" t="s">
        <v>854</v>
      </c>
      <c r="C282">
        <v>48</v>
      </c>
      <c r="D282">
        <v>143886</v>
      </c>
      <c r="E282" s="1">
        <v>44213</v>
      </c>
      <c r="F282" t="s">
        <v>855</v>
      </c>
      <c r="G282">
        <v>4982497090</v>
      </c>
      <c r="H282" t="s">
        <v>70</v>
      </c>
      <c r="I282" t="s">
        <v>29</v>
      </c>
      <c r="J282" t="s">
        <v>16</v>
      </c>
      <c r="K282">
        <v>7</v>
      </c>
      <c r="L282" s="2">
        <f>IF(LEN(Table1[[#This Row],[phone]]) = 10, Table1[[#This Row],[phone]],"Not Available")</f>
        <v>4982497090</v>
      </c>
    </row>
    <row r="283" spans="1:12" x14ac:dyDescent="0.25">
      <c r="A283" t="s">
        <v>856</v>
      </c>
      <c r="B283" t="s">
        <v>857</v>
      </c>
      <c r="C283">
        <v>88</v>
      </c>
      <c r="D283">
        <v>28113</v>
      </c>
      <c r="E283" s="1">
        <v>46009</v>
      </c>
      <c r="F283" t="s">
        <v>858</v>
      </c>
      <c r="G283">
        <v>7355567806</v>
      </c>
      <c r="H283" t="s">
        <v>70</v>
      </c>
      <c r="I283" t="s">
        <v>15</v>
      </c>
      <c r="J283" t="s">
        <v>16</v>
      </c>
      <c r="K283">
        <v>-2</v>
      </c>
      <c r="L283" s="2">
        <f>IF(LEN(Table1[[#This Row],[phone]]) = 10, Table1[[#This Row],[phone]],"Not Available")</f>
        <v>7355567806</v>
      </c>
    </row>
    <row r="284" spans="1:12" x14ac:dyDescent="0.25">
      <c r="A284" t="s">
        <v>859</v>
      </c>
      <c r="B284" t="s">
        <v>860</v>
      </c>
      <c r="C284">
        <v>48</v>
      </c>
      <c r="D284">
        <v>143886</v>
      </c>
      <c r="E284" s="1">
        <v>43100</v>
      </c>
      <c r="F284" t="s">
        <v>861</v>
      </c>
      <c r="G284">
        <v>7030306168</v>
      </c>
      <c r="H284" t="s">
        <v>33</v>
      </c>
      <c r="I284" t="s">
        <v>15</v>
      </c>
      <c r="J284" t="s">
        <v>16</v>
      </c>
      <c r="K284">
        <v>-2</v>
      </c>
      <c r="L284" s="2">
        <f>IF(LEN(Table1[[#This Row],[phone]]) = 10, Table1[[#This Row],[phone]],"Not Available")</f>
        <v>7030306168</v>
      </c>
    </row>
    <row r="285" spans="1:12" x14ac:dyDescent="0.25">
      <c r="A285" t="s">
        <v>862</v>
      </c>
      <c r="B285" t="s">
        <v>863</v>
      </c>
      <c r="C285">
        <v>48</v>
      </c>
      <c r="D285">
        <v>393386</v>
      </c>
      <c r="E285" s="1">
        <v>44023</v>
      </c>
      <c r="F285" t="s">
        <v>864</v>
      </c>
      <c r="G285">
        <v>4674416904</v>
      </c>
      <c r="H285" t="s">
        <v>14</v>
      </c>
      <c r="I285" t="s">
        <v>25</v>
      </c>
      <c r="J285" t="s">
        <v>21</v>
      </c>
      <c r="K285">
        <v>-2</v>
      </c>
      <c r="L285" s="2">
        <f>IF(LEN(Table1[[#This Row],[phone]]) = 10, Table1[[#This Row],[phone]],"Not Available")</f>
        <v>4674416904</v>
      </c>
    </row>
    <row r="286" spans="1:12" x14ac:dyDescent="0.25">
      <c r="A286" t="s">
        <v>865</v>
      </c>
      <c r="B286" t="s">
        <v>866</v>
      </c>
      <c r="C286">
        <v>54</v>
      </c>
      <c r="D286">
        <v>143886</v>
      </c>
      <c r="E286" s="1">
        <v>43532</v>
      </c>
      <c r="F286" t="s">
        <v>867</v>
      </c>
      <c r="G286">
        <v>9877255559</v>
      </c>
      <c r="H286" t="s">
        <v>70</v>
      </c>
      <c r="I286" t="s">
        <v>29</v>
      </c>
      <c r="J286" t="s">
        <v>16</v>
      </c>
      <c r="K286">
        <v>1.3</v>
      </c>
      <c r="L286" s="2">
        <f>IF(LEN(Table1[[#This Row],[phone]]) = 10, Table1[[#This Row],[phone]],"Not Available")</f>
        <v>9877255559</v>
      </c>
    </row>
    <row r="287" spans="1:12" x14ac:dyDescent="0.25">
      <c r="A287" t="s">
        <v>868</v>
      </c>
      <c r="B287" t="s">
        <v>869</v>
      </c>
      <c r="C287">
        <v>25</v>
      </c>
      <c r="D287">
        <v>143886</v>
      </c>
      <c r="E287" s="1">
        <v>42885</v>
      </c>
      <c r="F287" t="s">
        <v>870</v>
      </c>
      <c r="G287">
        <v>8753169880</v>
      </c>
      <c r="H287" t="s">
        <v>20</v>
      </c>
      <c r="I287" t="s">
        <v>29</v>
      </c>
      <c r="J287" t="s">
        <v>16</v>
      </c>
      <c r="K287">
        <v>7</v>
      </c>
      <c r="L287" s="2">
        <f>IF(LEN(Table1[[#This Row],[phone]]) = 10, Table1[[#This Row],[phone]],"Not Available")</f>
        <v>8753169880</v>
      </c>
    </row>
    <row r="288" spans="1:12" x14ac:dyDescent="0.25">
      <c r="A288" t="s">
        <v>871</v>
      </c>
      <c r="B288" t="s">
        <v>872</v>
      </c>
      <c r="C288">
        <v>54</v>
      </c>
      <c r="D288">
        <v>5000</v>
      </c>
      <c r="E288" s="1">
        <v>43001</v>
      </c>
      <c r="F288" t="s">
        <v>873</v>
      </c>
      <c r="G288">
        <v>2215414251</v>
      </c>
      <c r="H288" t="s">
        <v>70</v>
      </c>
      <c r="I288" t="s">
        <v>29</v>
      </c>
      <c r="J288" t="s">
        <v>16</v>
      </c>
      <c r="K288">
        <v>1.5</v>
      </c>
      <c r="L288" s="2">
        <f>IF(LEN(Table1[[#This Row],[phone]]) = 10, Table1[[#This Row],[phone]],"Not Available")</f>
        <v>2215414251</v>
      </c>
    </row>
    <row r="289" spans="1:12" x14ac:dyDescent="0.25">
      <c r="A289" t="s">
        <v>874</v>
      </c>
      <c r="B289" t="s">
        <v>875</v>
      </c>
      <c r="C289">
        <v>34</v>
      </c>
      <c r="D289">
        <v>143886</v>
      </c>
      <c r="E289" s="1">
        <v>43650</v>
      </c>
      <c r="F289" t="s">
        <v>876</v>
      </c>
      <c r="G289">
        <v>194353427</v>
      </c>
      <c r="H289" t="s">
        <v>65</v>
      </c>
      <c r="I289" t="s">
        <v>15</v>
      </c>
      <c r="J289" t="s">
        <v>16</v>
      </c>
      <c r="K289">
        <v>7</v>
      </c>
      <c r="L289" s="2" t="str">
        <f>IF(LEN(Table1[[#This Row],[phone]]) = 10, Table1[[#This Row],[phone]],"Not Available")</f>
        <v>Not Available</v>
      </c>
    </row>
    <row r="290" spans="1:12" x14ac:dyDescent="0.25">
      <c r="A290" t="s">
        <v>877</v>
      </c>
      <c r="B290" t="s">
        <v>878</v>
      </c>
      <c r="C290">
        <v>48</v>
      </c>
      <c r="D290">
        <v>233281</v>
      </c>
      <c r="E290" s="1">
        <v>44735</v>
      </c>
      <c r="F290" t="s">
        <v>879</v>
      </c>
      <c r="G290">
        <v>63415</v>
      </c>
      <c r="H290" t="s">
        <v>70</v>
      </c>
      <c r="I290" t="s">
        <v>15</v>
      </c>
      <c r="J290" t="s">
        <v>16</v>
      </c>
      <c r="K290">
        <v>-2</v>
      </c>
      <c r="L290" s="2" t="str">
        <f>IF(LEN(Table1[[#This Row],[phone]]) = 10, Table1[[#This Row],[phone]],"Not Available")</f>
        <v>Not Available</v>
      </c>
    </row>
    <row r="291" spans="1:12" x14ac:dyDescent="0.25">
      <c r="A291" t="s">
        <v>880</v>
      </c>
      <c r="B291" t="s">
        <v>881</v>
      </c>
      <c r="C291">
        <v>48</v>
      </c>
      <c r="D291">
        <v>200802</v>
      </c>
      <c r="E291" s="1">
        <v>43455</v>
      </c>
      <c r="F291" t="s">
        <v>882</v>
      </c>
      <c r="G291">
        <v>5336913024</v>
      </c>
      <c r="H291" t="s">
        <v>20</v>
      </c>
      <c r="I291" t="s">
        <v>37</v>
      </c>
      <c r="J291" t="s">
        <v>16</v>
      </c>
      <c r="K291">
        <v>-2</v>
      </c>
      <c r="L291" s="2">
        <f>IF(LEN(Table1[[#This Row],[phone]]) = 10, Table1[[#This Row],[phone]],"Not Available")</f>
        <v>5336913024</v>
      </c>
    </row>
    <row r="292" spans="1:12" x14ac:dyDescent="0.25">
      <c r="A292" t="s">
        <v>883</v>
      </c>
      <c r="B292" t="s">
        <v>884</v>
      </c>
      <c r="C292">
        <v>25</v>
      </c>
      <c r="D292">
        <v>143886</v>
      </c>
      <c r="E292" s="1">
        <v>45404</v>
      </c>
      <c r="F292" t="s">
        <v>885</v>
      </c>
      <c r="G292">
        <v>4173490934</v>
      </c>
      <c r="H292" t="s">
        <v>65</v>
      </c>
      <c r="I292" t="s">
        <v>66</v>
      </c>
      <c r="J292" t="s">
        <v>16</v>
      </c>
      <c r="K292">
        <v>1</v>
      </c>
      <c r="L292" s="2">
        <f>IF(LEN(Table1[[#This Row],[phone]]) = 10, Table1[[#This Row],[phone]],"Not Available")</f>
        <v>4173490934</v>
      </c>
    </row>
    <row r="293" spans="1:12" x14ac:dyDescent="0.25">
      <c r="A293" t="s">
        <v>886</v>
      </c>
      <c r="B293" t="s">
        <v>887</v>
      </c>
      <c r="C293">
        <v>68</v>
      </c>
      <c r="D293">
        <v>5000</v>
      </c>
      <c r="E293" s="1">
        <v>44348</v>
      </c>
      <c r="F293" t="s">
        <v>888</v>
      </c>
      <c r="G293">
        <v>455010688</v>
      </c>
      <c r="H293" t="s">
        <v>33</v>
      </c>
      <c r="I293" t="s">
        <v>15</v>
      </c>
      <c r="J293" t="s">
        <v>16</v>
      </c>
      <c r="K293">
        <v>2.7</v>
      </c>
      <c r="L293" s="2" t="str">
        <f>IF(LEN(Table1[[#This Row],[phone]]) = 10, Table1[[#This Row],[phone]],"Not Available")</f>
        <v>Not Available</v>
      </c>
    </row>
    <row r="294" spans="1:12" x14ac:dyDescent="0.25">
      <c r="A294" t="s">
        <v>889</v>
      </c>
      <c r="B294" t="s">
        <v>890</v>
      </c>
      <c r="C294">
        <v>48</v>
      </c>
      <c r="D294">
        <v>52933</v>
      </c>
      <c r="E294" s="1">
        <v>45705</v>
      </c>
      <c r="F294" t="s">
        <v>891</v>
      </c>
      <c r="G294">
        <v>345453420</v>
      </c>
      <c r="H294" t="s">
        <v>20</v>
      </c>
      <c r="I294" t="s">
        <v>66</v>
      </c>
      <c r="J294" t="s">
        <v>21</v>
      </c>
      <c r="K294">
        <v>7</v>
      </c>
      <c r="L294" s="2" t="str">
        <f>IF(LEN(Table1[[#This Row],[phone]]) = 10, Table1[[#This Row],[phone]],"Not Available")</f>
        <v>Not Available</v>
      </c>
    </row>
    <row r="295" spans="1:12" x14ac:dyDescent="0.25">
      <c r="A295" t="s">
        <v>892</v>
      </c>
      <c r="B295" t="s">
        <v>893</v>
      </c>
      <c r="C295">
        <v>48</v>
      </c>
      <c r="D295">
        <v>143886</v>
      </c>
      <c r="E295" s="1">
        <v>46358</v>
      </c>
      <c r="F295" t="s">
        <v>894</v>
      </c>
      <c r="G295">
        <v>9361727005</v>
      </c>
      <c r="H295" t="s">
        <v>14</v>
      </c>
      <c r="I295" t="s">
        <v>15</v>
      </c>
      <c r="J295" t="s">
        <v>16</v>
      </c>
      <c r="K295">
        <v>-2</v>
      </c>
      <c r="L295" s="2">
        <f>IF(LEN(Table1[[#This Row],[phone]]) = 10, Table1[[#This Row],[phone]],"Not Available")</f>
        <v>9361727005</v>
      </c>
    </row>
    <row r="296" spans="1:12" x14ac:dyDescent="0.25">
      <c r="A296" t="s">
        <v>895</v>
      </c>
      <c r="B296" t="s">
        <v>896</v>
      </c>
      <c r="C296">
        <v>48</v>
      </c>
      <c r="D296">
        <v>39351</v>
      </c>
      <c r="E296" s="1">
        <v>44204</v>
      </c>
      <c r="F296" t="s">
        <v>897</v>
      </c>
      <c r="G296">
        <v>6457509850</v>
      </c>
      <c r="H296" t="s">
        <v>65</v>
      </c>
      <c r="I296" t="s">
        <v>29</v>
      </c>
      <c r="J296" t="s">
        <v>21</v>
      </c>
      <c r="K296">
        <v>2.6</v>
      </c>
      <c r="L296" s="2">
        <f>IF(LEN(Table1[[#This Row],[phone]]) = 10, Table1[[#This Row],[phone]],"Not Available")</f>
        <v>6457509850</v>
      </c>
    </row>
    <row r="297" spans="1:12" x14ac:dyDescent="0.25">
      <c r="A297" t="s">
        <v>898</v>
      </c>
      <c r="B297" t="s">
        <v>899</v>
      </c>
      <c r="C297">
        <v>78</v>
      </c>
      <c r="D297">
        <v>63347</v>
      </c>
      <c r="E297" s="1">
        <v>44303</v>
      </c>
      <c r="F297" t="s">
        <v>900</v>
      </c>
      <c r="G297">
        <v>2762542322</v>
      </c>
      <c r="H297" t="s">
        <v>33</v>
      </c>
      <c r="I297" t="s">
        <v>15</v>
      </c>
      <c r="J297" t="s">
        <v>21</v>
      </c>
      <c r="K297">
        <v>7</v>
      </c>
      <c r="L297" s="2">
        <f>IF(LEN(Table1[[#This Row],[phone]]) = 10, Table1[[#This Row],[phone]],"Not Available")</f>
        <v>2762542322</v>
      </c>
    </row>
    <row r="298" spans="1:12" x14ac:dyDescent="0.25">
      <c r="A298" t="s">
        <v>901</v>
      </c>
      <c r="B298" t="s">
        <v>902</v>
      </c>
      <c r="C298">
        <v>48</v>
      </c>
      <c r="D298">
        <v>143886</v>
      </c>
      <c r="E298" s="1">
        <v>44313</v>
      </c>
      <c r="F298" t="s">
        <v>903</v>
      </c>
      <c r="G298">
        <v>12661</v>
      </c>
      <c r="H298" t="s">
        <v>20</v>
      </c>
      <c r="I298" t="s">
        <v>15</v>
      </c>
      <c r="J298" t="s">
        <v>16</v>
      </c>
      <c r="K298">
        <v>-2</v>
      </c>
      <c r="L298" s="2" t="str">
        <f>IF(LEN(Table1[[#This Row],[phone]]) = 10, Table1[[#This Row],[phone]],"Not Available")</f>
        <v>Not Available</v>
      </c>
    </row>
    <row r="299" spans="1:12" x14ac:dyDescent="0.25">
      <c r="A299" t="s">
        <v>904</v>
      </c>
      <c r="B299" t="s">
        <v>905</v>
      </c>
      <c r="C299">
        <v>46</v>
      </c>
      <c r="D299">
        <v>64107</v>
      </c>
      <c r="E299" s="1">
        <v>44590</v>
      </c>
      <c r="F299" t="s">
        <v>906</v>
      </c>
      <c r="G299">
        <v>2815412197</v>
      </c>
      <c r="H299" t="s">
        <v>65</v>
      </c>
      <c r="I299" t="s">
        <v>15</v>
      </c>
      <c r="J299" t="s">
        <v>16</v>
      </c>
      <c r="K299">
        <v>1.9</v>
      </c>
      <c r="L299" s="2">
        <f>IF(LEN(Table1[[#This Row],[phone]]) = 10, Table1[[#This Row],[phone]],"Not Available")</f>
        <v>2815412197</v>
      </c>
    </row>
    <row r="300" spans="1:12" x14ac:dyDescent="0.25">
      <c r="A300" t="s">
        <v>907</v>
      </c>
      <c r="B300" t="s">
        <v>908</v>
      </c>
      <c r="C300">
        <v>48</v>
      </c>
      <c r="D300">
        <v>143886</v>
      </c>
      <c r="E300" s="1">
        <v>46205</v>
      </c>
      <c r="F300" t="s">
        <v>909</v>
      </c>
      <c r="G300">
        <v>9034534891</v>
      </c>
      <c r="H300" t="s">
        <v>33</v>
      </c>
      <c r="I300" t="s">
        <v>15</v>
      </c>
      <c r="J300" t="s">
        <v>16</v>
      </c>
      <c r="K300">
        <v>2.7</v>
      </c>
      <c r="L300" s="2">
        <f>IF(LEN(Table1[[#This Row],[phone]]) = 10, Table1[[#This Row],[phone]],"Not Available")</f>
        <v>9034534891</v>
      </c>
    </row>
    <row r="301" spans="1:12" x14ac:dyDescent="0.25">
      <c r="A301" t="s">
        <v>910</v>
      </c>
      <c r="B301" t="s">
        <v>911</v>
      </c>
      <c r="C301">
        <v>43</v>
      </c>
      <c r="D301">
        <v>143886</v>
      </c>
      <c r="E301" s="1">
        <v>44231</v>
      </c>
      <c r="F301" t="s">
        <v>912</v>
      </c>
      <c r="G301">
        <v>4061577566</v>
      </c>
      <c r="H301" t="s">
        <v>33</v>
      </c>
      <c r="I301" t="s">
        <v>37</v>
      </c>
      <c r="J301" t="s">
        <v>16</v>
      </c>
      <c r="K301">
        <v>-2</v>
      </c>
      <c r="L301" s="2">
        <f>IF(LEN(Table1[[#This Row],[phone]]) = 10, Table1[[#This Row],[phone]],"Not Available")</f>
        <v>4061577566</v>
      </c>
    </row>
    <row r="302" spans="1:12" x14ac:dyDescent="0.25">
      <c r="A302" t="s">
        <v>913</v>
      </c>
      <c r="B302" t="s">
        <v>914</v>
      </c>
      <c r="C302">
        <v>20</v>
      </c>
      <c r="D302">
        <v>371268</v>
      </c>
      <c r="E302" s="1">
        <v>44471</v>
      </c>
      <c r="F302" t="s">
        <v>69</v>
      </c>
      <c r="G302">
        <v>3920305239</v>
      </c>
      <c r="H302" t="s">
        <v>33</v>
      </c>
      <c r="I302" t="s">
        <v>15</v>
      </c>
      <c r="J302" t="s">
        <v>16</v>
      </c>
      <c r="K302">
        <v>7</v>
      </c>
      <c r="L302" s="2">
        <f>IF(LEN(Table1[[#This Row],[phone]]) = 10, Table1[[#This Row],[phone]],"Not Available")</f>
        <v>3920305239</v>
      </c>
    </row>
    <row r="303" spans="1:12" x14ac:dyDescent="0.25">
      <c r="A303" t="s">
        <v>915</v>
      </c>
      <c r="B303" t="s">
        <v>916</v>
      </c>
      <c r="C303">
        <v>25</v>
      </c>
      <c r="D303">
        <v>143886</v>
      </c>
      <c r="E303" s="1">
        <v>45719</v>
      </c>
      <c r="F303" t="s">
        <v>917</v>
      </c>
      <c r="G303">
        <v>3108324982</v>
      </c>
      <c r="H303" t="s">
        <v>70</v>
      </c>
      <c r="I303" t="s">
        <v>66</v>
      </c>
      <c r="J303" t="s">
        <v>21</v>
      </c>
      <c r="K303">
        <v>2.7</v>
      </c>
      <c r="L303" s="2">
        <f>IF(LEN(Table1[[#This Row],[phone]]) = 10, Table1[[#This Row],[phone]],"Not Available")</f>
        <v>3108324982</v>
      </c>
    </row>
    <row r="304" spans="1:12" x14ac:dyDescent="0.25">
      <c r="A304" t="s">
        <v>918</v>
      </c>
      <c r="B304" t="s">
        <v>919</v>
      </c>
      <c r="C304">
        <v>48</v>
      </c>
      <c r="D304">
        <v>143886</v>
      </c>
      <c r="E304" s="1">
        <v>43327</v>
      </c>
      <c r="F304" t="s">
        <v>920</v>
      </c>
      <c r="G304">
        <v>3920247333</v>
      </c>
      <c r="H304" t="s">
        <v>65</v>
      </c>
      <c r="I304" t="s">
        <v>29</v>
      </c>
      <c r="J304" t="s">
        <v>21</v>
      </c>
      <c r="K304">
        <v>1.6</v>
      </c>
      <c r="L304" s="2">
        <f>IF(LEN(Table1[[#This Row],[phone]]) = 10, Table1[[#This Row],[phone]],"Not Available")</f>
        <v>3920247333</v>
      </c>
    </row>
    <row r="305" spans="1:12" x14ac:dyDescent="0.25">
      <c r="A305" t="s">
        <v>921</v>
      </c>
      <c r="B305" t="s">
        <v>922</v>
      </c>
      <c r="C305">
        <v>47</v>
      </c>
      <c r="D305">
        <v>143886</v>
      </c>
      <c r="E305" s="1">
        <v>45270</v>
      </c>
      <c r="F305" t="s">
        <v>923</v>
      </c>
      <c r="G305">
        <v>1170425629</v>
      </c>
      <c r="H305" t="s">
        <v>65</v>
      </c>
      <c r="I305" t="s">
        <v>15</v>
      </c>
      <c r="J305" t="s">
        <v>16</v>
      </c>
      <c r="K305">
        <v>2.7</v>
      </c>
      <c r="L305" s="2">
        <f>IF(LEN(Table1[[#This Row],[phone]]) = 10, Table1[[#This Row],[phone]],"Not Available")</f>
        <v>1170425629</v>
      </c>
    </row>
    <row r="306" spans="1:12" x14ac:dyDescent="0.25">
      <c r="A306" t="s">
        <v>924</v>
      </c>
      <c r="B306" t="s">
        <v>925</v>
      </c>
      <c r="C306">
        <v>48</v>
      </c>
      <c r="D306">
        <v>143886</v>
      </c>
      <c r="E306" s="1">
        <v>43988</v>
      </c>
      <c r="F306" t="s">
        <v>926</v>
      </c>
      <c r="G306">
        <v>122644590</v>
      </c>
      <c r="H306" t="s">
        <v>14</v>
      </c>
      <c r="I306" t="s">
        <v>15</v>
      </c>
      <c r="J306" t="s">
        <v>21</v>
      </c>
      <c r="K306">
        <v>7</v>
      </c>
      <c r="L306" s="2" t="str">
        <f>IF(LEN(Table1[[#This Row],[phone]]) = 10, Table1[[#This Row],[phone]],"Not Available")</f>
        <v>Not Available</v>
      </c>
    </row>
    <row r="307" spans="1:12" x14ac:dyDescent="0.25">
      <c r="A307" t="s">
        <v>927</v>
      </c>
      <c r="B307" t="s">
        <v>928</v>
      </c>
      <c r="C307">
        <v>39</v>
      </c>
      <c r="D307">
        <v>143886</v>
      </c>
      <c r="E307" s="1">
        <v>43252</v>
      </c>
      <c r="F307" t="s">
        <v>929</v>
      </c>
      <c r="G307">
        <v>6196824174</v>
      </c>
      <c r="H307" t="s">
        <v>70</v>
      </c>
      <c r="I307" t="s">
        <v>15</v>
      </c>
      <c r="J307" t="s">
        <v>21</v>
      </c>
      <c r="K307">
        <v>2.7</v>
      </c>
      <c r="L307" s="2">
        <f>IF(LEN(Table1[[#This Row],[phone]]) = 10, Table1[[#This Row],[phone]],"Not Available")</f>
        <v>6196824174</v>
      </c>
    </row>
    <row r="308" spans="1:12" x14ac:dyDescent="0.25">
      <c r="A308" t="s">
        <v>930</v>
      </c>
      <c r="B308" t="s">
        <v>931</v>
      </c>
      <c r="C308">
        <v>48</v>
      </c>
      <c r="D308">
        <v>143886</v>
      </c>
      <c r="E308" s="1">
        <v>43299</v>
      </c>
      <c r="F308" t="s">
        <v>932</v>
      </c>
      <c r="G308">
        <v>4167962628</v>
      </c>
      <c r="H308" t="s">
        <v>20</v>
      </c>
      <c r="I308" t="s">
        <v>15</v>
      </c>
      <c r="J308" t="s">
        <v>21</v>
      </c>
      <c r="K308">
        <v>2.7</v>
      </c>
      <c r="L308" s="2">
        <f>IF(LEN(Table1[[#This Row],[phone]]) = 10, Table1[[#This Row],[phone]],"Not Available")</f>
        <v>4167962628</v>
      </c>
    </row>
    <row r="309" spans="1:12" x14ac:dyDescent="0.25">
      <c r="A309" t="s">
        <v>933</v>
      </c>
      <c r="B309" t="s">
        <v>934</v>
      </c>
      <c r="C309">
        <v>25</v>
      </c>
      <c r="D309">
        <v>335892</v>
      </c>
      <c r="E309" s="1">
        <v>45287</v>
      </c>
      <c r="F309" t="s">
        <v>935</v>
      </c>
      <c r="G309">
        <v>33789</v>
      </c>
      <c r="H309" t="s">
        <v>20</v>
      </c>
      <c r="I309" t="s">
        <v>15</v>
      </c>
      <c r="J309" t="s">
        <v>16</v>
      </c>
      <c r="K309">
        <v>2.7</v>
      </c>
      <c r="L309" s="2" t="str">
        <f>IF(LEN(Table1[[#This Row],[phone]]) = 10, Table1[[#This Row],[phone]],"Not Available")</f>
        <v>Not Available</v>
      </c>
    </row>
    <row r="310" spans="1:12" x14ac:dyDescent="0.25">
      <c r="A310" t="s">
        <v>936</v>
      </c>
      <c r="B310" t="s">
        <v>937</v>
      </c>
      <c r="C310">
        <v>48</v>
      </c>
      <c r="D310">
        <v>5000</v>
      </c>
      <c r="E310" s="1">
        <v>42749</v>
      </c>
      <c r="F310" t="s">
        <v>938</v>
      </c>
      <c r="G310">
        <v>3033707945</v>
      </c>
      <c r="H310" t="s">
        <v>20</v>
      </c>
      <c r="I310" t="s">
        <v>25</v>
      </c>
      <c r="J310" t="s">
        <v>16</v>
      </c>
      <c r="K310">
        <v>3.5</v>
      </c>
      <c r="L310" s="2">
        <f>IF(LEN(Table1[[#This Row],[phone]]) = 10, Table1[[#This Row],[phone]],"Not Available")</f>
        <v>3033707945</v>
      </c>
    </row>
    <row r="311" spans="1:12" x14ac:dyDescent="0.25">
      <c r="A311" t="s">
        <v>939</v>
      </c>
      <c r="B311" t="s">
        <v>940</v>
      </c>
      <c r="C311">
        <v>85</v>
      </c>
      <c r="D311">
        <v>5000</v>
      </c>
      <c r="E311" s="1">
        <v>45081</v>
      </c>
      <c r="F311" t="s">
        <v>941</v>
      </c>
      <c r="G311">
        <v>9361622542</v>
      </c>
      <c r="H311" t="s">
        <v>20</v>
      </c>
      <c r="I311" t="s">
        <v>15</v>
      </c>
      <c r="J311" t="s">
        <v>16</v>
      </c>
      <c r="K311">
        <v>2.5</v>
      </c>
      <c r="L311" s="2">
        <f>IF(LEN(Table1[[#This Row],[phone]]) = 10, Table1[[#This Row],[phone]],"Not Available")</f>
        <v>9361622542</v>
      </c>
    </row>
    <row r="312" spans="1:12" x14ac:dyDescent="0.25">
      <c r="A312" t="s">
        <v>942</v>
      </c>
      <c r="B312" t="s">
        <v>943</v>
      </c>
      <c r="C312">
        <v>59</v>
      </c>
      <c r="D312">
        <v>143886</v>
      </c>
      <c r="E312" s="1">
        <v>43938</v>
      </c>
      <c r="F312" t="s">
        <v>944</v>
      </c>
      <c r="G312">
        <v>7756654884</v>
      </c>
      <c r="H312" t="s">
        <v>14</v>
      </c>
      <c r="I312" t="s">
        <v>15</v>
      </c>
      <c r="J312" t="s">
        <v>16</v>
      </c>
      <c r="K312">
        <v>7</v>
      </c>
      <c r="L312" s="2">
        <f>IF(LEN(Table1[[#This Row],[phone]]) = 10, Table1[[#This Row],[phone]],"Not Available")</f>
        <v>7756654884</v>
      </c>
    </row>
    <row r="313" spans="1:12" x14ac:dyDescent="0.25">
      <c r="A313" t="s">
        <v>945</v>
      </c>
      <c r="B313" t="s">
        <v>946</v>
      </c>
      <c r="C313">
        <v>48</v>
      </c>
      <c r="D313">
        <v>83209</v>
      </c>
      <c r="E313" s="1">
        <v>45678</v>
      </c>
      <c r="F313" t="s">
        <v>947</v>
      </c>
      <c r="G313">
        <v>3599789707</v>
      </c>
      <c r="H313" t="s">
        <v>20</v>
      </c>
      <c r="I313" t="s">
        <v>15</v>
      </c>
      <c r="J313" t="s">
        <v>16</v>
      </c>
      <c r="K313">
        <v>4.8</v>
      </c>
      <c r="L313" s="2">
        <f>IF(LEN(Table1[[#This Row],[phone]]) = 10, Table1[[#This Row],[phone]],"Not Available")</f>
        <v>3599789707</v>
      </c>
    </row>
    <row r="314" spans="1:12" x14ac:dyDescent="0.25">
      <c r="A314" t="s">
        <v>948</v>
      </c>
      <c r="B314" t="s">
        <v>949</v>
      </c>
      <c r="C314">
        <v>36</v>
      </c>
      <c r="D314">
        <v>143886</v>
      </c>
      <c r="E314" s="1">
        <v>43586</v>
      </c>
      <c r="F314" t="s">
        <v>950</v>
      </c>
      <c r="G314">
        <v>9117745663</v>
      </c>
      <c r="H314" t="s">
        <v>65</v>
      </c>
      <c r="I314" t="s">
        <v>29</v>
      </c>
      <c r="J314" t="s">
        <v>16</v>
      </c>
      <c r="K314">
        <v>2.7</v>
      </c>
      <c r="L314" s="2">
        <f>IF(LEN(Table1[[#This Row],[phone]]) = 10, Table1[[#This Row],[phone]],"Not Available")</f>
        <v>9117745663</v>
      </c>
    </row>
    <row r="315" spans="1:12" x14ac:dyDescent="0.25">
      <c r="A315" t="s">
        <v>951</v>
      </c>
      <c r="B315" t="s">
        <v>952</v>
      </c>
      <c r="C315">
        <v>25</v>
      </c>
      <c r="D315">
        <v>143886</v>
      </c>
      <c r="E315" s="1">
        <v>46128</v>
      </c>
      <c r="F315" t="s">
        <v>953</v>
      </c>
      <c r="G315">
        <v>1524143906</v>
      </c>
      <c r="H315" t="s">
        <v>65</v>
      </c>
      <c r="I315" t="s">
        <v>15</v>
      </c>
      <c r="J315" t="s">
        <v>16</v>
      </c>
      <c r="K315">
        <v>7</v>
      </c>
      <c r="L315" s="2">
        <f>IF(LEN(Table1[[#This Row],[phone]]) = 10, Table1[[#This Row],[phone]],"Not Available")</f>
        <v>1524143906</v>
      </c>
    </row>
    <row r="316" spans="1:12" x14ac:dyDescent="0.25">
      <c r="A316" t="s">
        <v>954</v>
      </c>
      <c r="B316" t="s">
        <v>955</v>
      </c>
      <c r="C316">
        <v>48</v>
      </c>
      <c r="D316">
        <v>143886</v>
      </c>
      <c r="E316" s="1">
        <v>44489</v>
      </c>
      <c r="F316" t="s">
        <v>956</v>
      </c>
      <c r="G316">
        <v>8777163678</v>
      </c>
      <c r="H316" t="s">
        <v>65</v>
      </c>
      <c r="I316" t="s">
        <v>25</v>
      </c>
      <c r="J316" t="s">
        <v>21</v>
      </c>
      <c r="K316">
        <v>7</v>
      </c>
      <c r="L316" s="2">
        <f>IF(LEN(Table1[[#This Row],[phone]]) = 10, Table1[[#This Row],[phone]],"Not Available")</f>
        <v>8777163678</v>
      </c>
    </row>
    <row r="317" spans="1:12" x14ac:dyDescent="0.25">
      <c r="A317" t="s">
        <v>957</v>
      </c>
      <c r="B317" t="s">
        <v>958</v>
      </c>
      <c r="C317">
        <v>82</v>
      </c>
      <c r="D317">
        <v>201780</v>
      </c>
      <c r="E317" s="1">
        <v>43590</v>
      </c>
      <c r="F317" t="s">
        <v>959</v>
      </c>
      <c r="G317">
        <v>6806462765</v>
      </c>
      <c r="H317" t="s">
        <v>65</v>
      </c>
      <c r="I317" t="s">
        <v>15</v>
      </c>
      <c r="J317" t="s">
        <v>21</v>
      </c>
      <c r="K317">
        <v>7</v>
      </c>
      <c r="L317" s="2">
        <f>IF(LEN(Table1[[#This Row],[phone]]) = 10, Table1[[#This Row],[phone]],"Not Available")</f>
        <v>6806462765</v>
      </c>
    </row>
    <row r="318" spans="1:12" x14ac:dyDescent="0.25">
      <c r="A318" t="s">
        <v>960</v>
      </c>
      <c r="B318" t="s">
        <v>961</v>
      </c>
      <c r="C318">
        <v>76</v>
      </c>
      <c r="D318">
        <v>5000</v>
      </c>
      <c r="E318" s="1">
        <v>45451</v>
      </c>
      <c r="F318" t="s">
        <v>962</v>
      </c>
      <c r="G318">
        <v>7435302865</v>
      </c>
      <c r="H318" t="s">
        <v>33</v>
      </c>
      <c r="I318" t="s">
        <v>15</v>
      </c>
      <c r="J318" t="s">
        <v>21</v>
      </c>
      <c r="K318">
        <v>2.7</v>
      </c>
      <c r="L318" s="2">
        <f>IF(LEN(Table1[[#This Row],[phone]]) = 10, Table1[[#This Row],[phone]],"Not Available")</f>
        <v>7435302865</v>
      </c>
    </row>
    <row r="319" spans="1:12" x14ac:dyDescent="0.25">
      <c r="A319" t="s">
        <v>963</v>
      </c>
      <c r="B319" t="s">
        <v>964</v>
      </c>
      <c r="C319">
        <v>46</v>
      </c>
      <c r="D319">
        <v>143886</v>
      </c>
      <c r="E319" s="1">
        <v>44628</v>
      </c>
      <c r="F319" t="s">
        <v>965</v>
      </c>
      <c r="G319">
        <v>38059</v>
      </c>
      <c r="H319" t="s">
        <v>65</v>
      </c>
      <c r="I319" t="s">
        <v>15</v>
      </c>
      <c r="J319" t="s">
        <v>16</v>
      </c>
      <c r="K319">
        <v>-2</v>
      </c>
      <c r="L319" s="2" t="str">
        <f>IF(LEN(Table1[[#This Row],[phone]]) = 10, Table1[[#This Row],[phone]],"Not Available")</f>
        <v>Not Available</v>
      </c>
    </row>
    <row r="320" spans="1:12" x14ac:dyDescent="0.25">
      <c r="A320" t="s">
        <v>966</v>
      </c>
      <c r="B320" t="s">
        <v>967</v>
      </c>
      <c r="C320">
        <v>48</v>
      </c>
      <c r="D320">
        <v>143886</v>
      </c>
      <c r="E320" s="1">
        <v>44608</v>
      </c>
      <c r="F320" t="s">
        <v>968</v>
      </c>
      <c r="G320">
        <v>3611142692</v>
      </c>
      <c r="H320" t="s">
        <v>33</v>
      </c>
      <c r="I320" t="s">
        <v>25</v>
      </c>
      <c r="J320" t="s">
        <v>16</v>
      </c>
      <c r="K320">
        <v>-2</v>
      </c>
      <c r="L320" s="2">
        <f>IF(LEN(Table1[[#This Row],[phone]]) = 10, Table1[[#This Row],[phone]],"Not Available")</f>
        <v>3611142692</v>
      </c>
    </row>
    <row r="321" spans="1:12" x14ac:dyDescent="0.25">
      <c r="A321" t="s">
        <v>969</v>
      </c>
      <c r="B321" t="s">
        <v>970</v>
      </c>
      <c r="C321">
        <v>25</v>
      </c>
      <c r="D321">
        <v>143886</v>
      </c>
      <c r="E321" s="1">
        <v>43587</v>
      </c>
      <c r="F321" t="s">
        <v>971</v>
      </c>
      <c r="G321">
        <v>654928298</v>
      </c>
      <c r="H321" t="s">
        <v>20</v>
      </c>
      <c r="I321" t="s">
        <v>37</v>
      </c>
      <c r="J321" t="s">
        <v>16</v>
      </c>
      <c r="K321">
        <v>7</v>
      </c>
      <c r="L321" s="2" t="str">
        <f>IF(LEN(Table1[[#This Row],[phone]]) = 10, Table1[[#This Row],[phone]],"Not Available")</f>
        <v>Not Available</v>
      </c>
    </row>
    <row r="322" spans="1:12" x14ac:dyDescent="0.25">
      <c r="A322" t="s">
        <v>972</v>
      </c>
      <c r="B322" t="s">
        <v>973</v>
      </c>
      <c r="C322">
        <v>48</v>
      </c>
      <c r="D322">
        <v>143886</v>
      </c>
      <c r="E322" s="1">
        <v>43601</v>
      </c>
      <c r="F322" t="s">
        <v>974</v>
      </c>
      <c r="G322">
        <v>43543</v>
      </c>
      <c r="H322" t="s">
        <v>20</v>
      </c>
      <c r="I322" t="s">
        <v>25</v>
      </c>
      <c r="J322" t="s">
        <v>16</v>
      </c>
      <c r="K322">
        <v>-2</v>
      </c>
      <c r="L322" s="2" t="str">
        <f>IF(LEN(Table1[[#This Row],[phone]]) = 10, Table1[[#This Row],[phone]],"Not Available")</f>
        <v>Not Available</v>
      </c>
    </row>
    <row r="323" spans="1:12" x14ac:dyDescent="0.25">
      <c r="A323" t="s">
        <v>975</v>
      </c>
      <c r="B323" t="s">
        <v>976</v>
      </c>
      <c r="C323">
        <v>59</v>
      </c>
      <c r="D323">
        <v>35516</v>
      </c>
      <c r="E323" s="1">
        <v>43581</v>
      </c>
      <c r="F323" t="s">
        <v>977</v>
      </c>
      <c r="G323">
        <v>3667095910</v>
      </c>
      <c r="H323" t="s">
        <v>65</v>
      </c>
      <c r="I323" t="s">
        <v>15</v>
      </c>
      <c r="J323" t="s">
        <v>16</v>
      </c>
      <c r="K323">
        <v>2.5</v>
      </c>
      <c r="L323" s="2">
        <f>IF(LEN(Table1[[#This Row],[phone]]) = 10, Table1[[#This Row],[phone]],"Not Available")</f>
        <v>3667095910</v>
      </c>
    </row>
    <row r="324" spans="1:12" x14ac:dyDescent="0.25">
      <c r="A324" t="s">
        <v>978</v>
      </c>
      <c r="B324" t="s">
        <v>979</v>
      </c>
      <c r="C324">
        <v>48</v>
      </c>
      <c r="D324">
        <v>143886</v>
      </c>
      <c r="E324" s="1">
        <v>45239</v>
      </c>
      <c r="F324" t="s">
        <v>980</v>
      </c>
      <c r="G324">
        <v>22049</v>
      </c>
      <c r="H324" t="s">
        <v>14</v>
      </c>
      <c r="I324" t="s">
        <v>15</v>
      </c>
      <c r="J324" t="s">
        <v>16</v>
      </c>
      <c r="K324">
        <v>1.7</v>
      </c>
      <c r="L324" s="2" t="str">
        <f>IF(LEN(Table1[[#This Row],[phone]]) = 10, Table1[[#This Row],[phone]],"Not Available")</f>
        <v>Not Available</v>
      </c>
    </row>
    <row r="325" spans="1:12" x14ac:dyDescent="0.25">
      <c r="A325" t="s">
        <v>981</v>
      </c>
      <c r="B325" t="s">
        <v>982</v>
      </c>
      <c r="C325">
        <v>69</v>
      </c>
      <c r="D325">
        <v>143886</v>
      </c>
      <c r="E325" s="1">
        <v>44244</v>
      </c>
      <c r="F325" t="s">
        <v>983</v>
      </c>
      <c r="G325">
        <v>1752720901</v>
      </c>
      <c r="H325" t="s">
        <v>20</v>
      </c>
      <c r="I325" t="s">
        <v>25</v>
      </c>
      <c r="J325" t="s">
        <v>16</v>
      </c>
      <c r="K325">
        <v>2.7</v>
      </c>
      <c r="L325" s="2">
        <f>IF(LEN(Table1[[#This Row],[phone]]) = 10, Table1[[#This Row],[phone]],"Not Available")</f>
        <v>1752720901</v>
      </c>
    </row>
    <row r="326" spans="1:12" x14ac:dyDescent="0.25">
      <c r="A326" t="s">
        <v>984</v>
      </c>
      <c r="B326" t="s">
        <v>985</v>
      </c>
      <c r="C326">
        <v>25</v>
      </c>
      <c r="D326">
        <v>112631</v>
      </c>
      <c r="E326" s="1">
        <v>44558</v>
      </c>
      <c r="F326" t="s">
        <v>986</v>
      </c>
      <c r="G326">
        <v>57324</v>
      </c>
      <c r="H326" t="s">
        <v>20</v>
      </c>
      <c r="I326" t="s">
        <v>66</v>
      </c>
      <c r="J326" t="s">
        <v>16</v>
      </c>
      <c r="K326">
        <v>-2</v>
      </c>
      <c r="L326" s="2" t="str">
        <f>IF(LEN(Table1[[#This Row],[phone]]) = 10, Table1[[#This Row],[phone]],"Not Available")</f>
        <v>Not Available</v>
      </c>
    </row>
    <row r="327" spans="1:12" x14ac:dyDescent="0.25">
      <c r="A327" t="s">
        <v>987</v>
      </c>
      <c r="B327" t="s">
        <v>988</v>
      </c>
      <c r="C327">
        <v>48</v>
      </c>
      <c r="D327">
        <v>143886</v>
      </c>
      <c r="E327" s="1">
        <v>43581</v>
      </c>
      <c r="F327" t="s">
        <v>989</v>
      </c>
      <c r="G327">
        <v>6396825750</v>
      </c>
      <c r="H327" t="s">
        <v>33</v>
      </c>
      <c r="I327" t="s">
        <v>37</v>
      </c>
      <c r="J327" t="s">
        <v>16</v>
      </c>
      <c r="K327">
        <v>-2</v>
      </c>
      <c r="L327" s="2">
        <f>IF(LEN(Table1[[#This Row],[phone]]) = 10, Table1[[#This Row],[phone]],"Not Available")</f>
        <v>6396825750</v>
      </c>
    </row>
    <row r="328" spans="1:12" x14ac:dyDescent="0.25">
      <c r="A328" t="s">
        <v>990</v>
      </c>
      <c r="B328" t="s">
        <v>991</v>
      </c>
      <c r="C328">
        <v>90</v>
      </c>
      <c r="D328">
        <v>25626</v>
      </c>
      <c r="E328" s="1">
        <v>45851</v>
      </c>
      <c r="F328" t="s">
        <v>992</v>
      </c>
      <c r="G328">
        <v>4156320673</v>
      </c>
      <c r="H328" t="s">
        <v>65</v>
      </c>
      <c r="I328" t="s">
        <v>15</v>
      </c>
      <c r="J328" t="s">
        <v>16</v>
      </c>
      <c r="K328">
        <v>2.7</v>
      </c>
      <c r="L328" s="2">
        <f>IF(LEN(Table1[[#This Row],[phone]]) = 10, Table1[[#This Row],[phone]],"Not Available")</f>
        <v>4156320673</v>
      </c>
    </row>
    <row r="329" spans="1:12" x14ac:dyDescent="0.25">
      <c r="A329" t="s">
        <v>993</v>
      </c>
      <c r="B329" t="s">
        <v>994</v>
      </c>
      <c r="C329">
        <v>25</v>
      </c>
      <c r="D329">
        <v>51436</v>
      </c>
      <c r="E329" s="1">
        <v>44753</v>
      </c>
      <c r="F329" t="s">
        <v>995</v>
      </c>
      <c r="G329">
        <v>1022121841</v>
      </c>
      <c r="H329" t="s">
        <v>65</v>
      </c>
      <c r="I329" t="s">
        <v>15</v>
      </c>
      <c r="J329" t="s">
        <v>16</v>
      </c>
      <c r="K329">
        <v>1</v>
      </c>
      <c r="L329" s="2">
        <f>IF(LEN(Table1[[#This Row],[phone]]) = 10, Table1[[#This Row],[phone]],"Not Available")</f>
        <v>1022121841</v>
      </c>
    </row>
    <row r="330" spans="1:12" x14ac:dyDescent="0.25">
      <c r="A330" t="s">
        <v>996</v>
      </c>
      <c r="B330" t="s">
        <v>997</v>
      </c>
      <c r="C330">
        <v>29</v>
      </c>
      <c r="D330">
        <v>274187</v>
      </c>
      <c r="E330" s="1">
        <v>43830</v>
      </c>
      <c r="F330" t="s">
        <v>998</v>
      </c>
      <c r="G330">
        <v>5316711460</v>
      </c>
      <c r="H330" t="s">
        <v>65</v>
      </c>
      <c r="I330" t="s">
        <v>37</v>
      </c>
      <c r="J330" t="s">
        <v>16</v>
      </c>
      <c r="K330">
        <v>7</v>
      </c>
      <c r="L330" s="2">
        <f>IF(LEN(Table1[[#This Row],[phone]]) = 10, Table1[[#This Row],[phone]],"Not Available")</f>
        <v>5316711460</v>
      </c>
    </row>
    <row r="331" spans="1:12" x14ac:dyDescent="0.25">
      <c r="A331" t="s">
        <v>999</v>
      </c>
      <c r="B331" t="s">
        <v>1000</v>
      </c>
      <c r="C331">
        <v>48</v>
      </c>
      <c r="D331">
        <v>259202</v>
      </c>
      <c r="E331" s="1">
        <v>42923</v>
      </c>
      <c r="F331" t="s">
        <v>1001</v>
      </c>
      <c r="G331">
        <v>4952790176</v>
      </c>
      <c r="H331" t="s">
        <v>65</v>
      </c>
      <c r="I331" t="s">
        <v>15</v>
      </c>
      <c r="J331" t="s">
        <v>16</v>
      </c>
      <c r="K331">
        <v>-2</v>
      </c>
      <c r="L331" s="2">
        <f>IF(LEN(Table1[[#This Row],[phone]]) = 10, Table1[[#This Row],[phone]],"Not Available")</f>
        <v>4952790176</v>
      </c>
    </row>
    <row r="332" spans="1:12" x14ac:dyDescent="0.25">
      <c r="A332" t="s">
        <v>1002</v>
      </c>
      <c r="B332" t="s">
        <v>1003</v>
      </c>
      <c r="C332">
        <v>48</v>
      </c>
      <c r="D332">
        <v>143886</v>
      </c>
      <c r="E332" s="1">
        <v>43698</v>
      </c>
      <c r="F332" t="s">
        <v>1004</v>
      </c>
      <c r="G332">
        <v>9382134978</v>
      </c>
      <c r="H332" t="s">
        <v>20</v>
      </c>
      <c r="I332" t="s">
        <v>37</v>
      </c>
      <c r="J332" t="s">
        <v>21</v>
      </c>
      <c r="K332">
        <v>-2</v>
      </c>
      <c r="L332" s="2">
        <f>IF(LEN(Table1[[#This Row],[phone]]) = 10, Table1[[#This Row],[phone]],"Not Available")</f>
        <v>9382134978</v>
      </c>
    </row>
    <row r="333" spans="1:12" x14ac:dyDescent="0.25">
      <c r="A333" t="s">
        <v>1005</v>
      </c>
      <c r="B333" t="s">
        <v>1006</v>
      </c>
      <c r="C333">
        <v>73</v>
      </c>
      <c r="D333">
        <v>361107</v>
      </c>
      <c r="E333" s="1">
        <v>46075</v>
      </c>
      <c r="F333" t="s">
        <v>1007</v>
      </c>
      <c r="G333">
        <v>3762649431</v>
      </c>
      <c r="H333" t="s">
        <v>65</v>
      </c>
      <c r="I333" t="s">
        <v>29</v>
      </c>
      <c r="J333" t="s">
        <v>21</v>
      </c>
      <c r="K333">
        <v>2.7</v>
      </c>
      <c r="L333" s="2">
        <f>IF(LEN(Table1[[#This Row],[phone]]) = 10, Table1[[#This Row],[phone]],"Not Available")</f>
        <v>3762649431</v>
      </c>
    </row>
    <row r="334" spans="1:12" x14ac:dyDescent="0.25">
      <c r="A334" t="s">
        <v>1008</v>
      </c>
      <c r="B334" t="s">
        <v>1009</v>
      </c>
      <c r="C334">
        <v>25</v>
      </c>
      <c r="D334">
        <v>5000</v>
      </c>
      <c r="E334" s="1">
        <v>45989</v>
      </c>
      <c r="F334" t="s">
        <v>1010</v>
      </c>
      <c r="G334">
        <v>3268264772</v>
      </c>
      <c r="H334" t="s">
        <v>65</v>
      </c>
      <c r="I334" t="s">
        <v>25</v>
      </c>
      <c r="J334" t="s">
        <v>16</v>
      </c>
      <c r="K334">
        <v>-2</v>
      </c>
      <c r="L334" s="2">
        <f>IF(LEN(Table1[[#This Row],[phone]]) = 10, Table1[[#This Row],[phone]],"Not Available")</f>
        <v>3268264772</v>
      </c>
    </row>
    <row r="335" spans="1:12" x14ac:dyDescent="0.25">
      <c r="A335" t="s">
        <v>1011</v>
      </c>
      <c r="B335" t="s">
        <v>1012</v>
      </c>
      <c r="C335">
        <v>20</v>
      </c>
      <c r="D335">
        <v>260095</v>
      </c>
      <c r="E335" s="1">
        <v>44488</v>
      </c>
      <c r="F335" t="s">
        <v>1013</v>
      </c>
      <c r="G335">
        <v>306658501</v>
      </c>
      <c r="H335" t="s">
        <v>65</v>
      </c>
      <c r="I335" t="s">
        <v>29</v>
      </c>
      <c r="J335" t="s">
        <v>21</v>
      </c>
      <c r="K335">
        <v>-2</v>
      </c>
      <c r="L335" s="2" t="str">
        <f>IF(LEN(Table1[[#This Row],[phone]]) = 10, Table1[[#This Row],[phone]],"Not Available")</f>
        <v>Not Available</v>
      </c>
    </row>
    <row r="336" spans="1:12" x14ac:dyDescent="0.25">
      <c r="A336" t="s">
        <v>1014</v>
      </c>
      <c r="B336" t="s">
        <v>1015</v>
      </c>
      <c r="C336">
        <v>48</v>
      </c>
      <c r="D336">
        <v>5000</v>
      </c>
      <c r="E336" s="1">
        <v>45901</v>
      </c>
      <c r="F336" t="s">
        <v>1016</v>
      </c>
      <c r="G336">
        <v>3130209210</v>
      </c>
      <c r="H336" t="s">
        <v>20</v>
      </c>
      <c r="I336" t="s">
        <v>15</v>
      </c>
      <c r="J336" t="s">
        <v>16</v>
      </c>
      <c r="K336">
        <v>2.2999999999999998</v>
      </c>
      <c r="L336" s="2">
        <f>IF(LEN(Table1[[#This Row],[phone]]) = 10, Table1[[#This Row],[phone]],"Not Available")</f>
        <v>3130209210</v>
      </c>
    </row>
    <row r="337" spans="1:12" x14ac:dyDescent="0.25">
      <c r="A337" t="s">
        <v>1017</v>
      </c>
      <c r="B337" t="s">
        <v>1018</v>
      </c>
      <c r="C337">
        <v>85</v>
      </c>
      <c r="D337">
        <v>143886</v>
      </c>
      <c r="E337" s="1">
        <v>43494</v>
      </c>
      <c r="F337" t="s">
        <v>1019</v>
      </c>
      <c r="G337">
        <v>9500292791</v>
      </c>
      <c r="H337" t="s">
        <v>33</v>
      </c>
      <c r="I337" t="s">
        <v>15</v>
      </c>
      <c r="J337" t="s">
        <v>16</v>
      </c>
      <c r="K337">
        <v>4.5</v>
      </c>
      <c r="L337" s="2">
        <f>IF(LEN(Table1[[#This Row],[phone]]) = 10, Table1[[#This Row],[phone]],"Not Available")</f>
        <v>9500292791</v>
      </c>
    </row>
    <row r="338" spans="1:12" x14ac:dyDescent="0.25">
      <c r="A338" t="s">
        <v>1020</v>
      </c>
      <c r="B338" t="s">
        <v>1021</v>
      </c>
      <c r="C338">
        <v>25</v>
      </c>
      <c r="D338">
        <v>243316</v>
      </c>
      <c r="E338" s="1">
        <v>44190</v>
      </c>
      <c r="F338" t="s">
        <v>1022</v>
      </c>
      <c r="G338">
        <v>7829702843</v>
      </c>
      <c r="H338" t="s">
        <v>65</v>
      </c>
      <c r="I338" t="s">
        <v>37</v>
      </c>
      <c r="J338" t="s">
        <v>16</v>
      </c>
      <c r="K338">
        <v>7</v>
      </c>
      <c r="L338" s="2">
        <f>IF(LEN(Table1[[#This Row],[phone]]) = 10, Table1[[#This Row],[phone]],"Not Available")</f>
        <v>7829702843</v>
      </c>
    </row>
    <row r="339" spans="1:12" x14ac:dyDescent="0.25">
      <c r="A339" t="s">
        <v>1023</v>
      </c>
      <c r="B339" t="s">
        <v>1024</v>
      </c>
      <c r="C339">
        <v>48</v>
      </c>
      <c r="D339">
        <v>84603</v>
      </c>
      <c r="E339" s="1">
        <v>44801</v>
      </c>
      <c r="F339" t="s">
        <v>1025</v>
      </c>
      <c r="G339">
        <v>4400837712</v>
      </c>
      <c r="H339" t="s">
        <v>20</v>
      </c>
      <c r="I339" t="s">
        <v>15</v>
      </c>
      <c r="J339" t="s">
        <v>21</v>
      </c>
      <c r="K339">
        <v>3.5</v>
      </c>
      <c r="L339" s="2">
        <f>IF(LEN(Table1[[#This Row],[phone]]) = 10, Table1[[#This Row],[phone]],"Not Available")</f>
        <v>4400837712</v>
      </c>
    </row>
    <row r="340" spans="1:12" x14ac:dyDescent="0.25">
      <c r="A340" t="s">
        <v>1026</v>
      </c>
      <c r="B340" t="s">
        <v>1027</v>
      </c>
      <c r="C340">
        <v>48</v>
      </c>
      <c r="D340">
        <v>143886</v>
      </c>
      <c r="E340" s="1">
        <v>42968</v>
      </c>
      <c r="F340" t="s">
        <v>1028</v>
      </c>
      <c r="G340">
        <v>77731614</v>
      </c>
      <c r="H340" t="s">
        <v>70</v>
      </c>
      <c r="I340" t="s">
        <v>15</v>
      </c>
      <c r="J340" t="s">
        <v>16</v>
      </c>
      <c r="K340">
        <v>2.7</v>
      </c>
      <c r="L340" s="2" t="str">
        <f>IF(LEN(Table1[[#This Row],[phone]]) = 10, Table1[[#This Row],[phone]],"Not Available")</f>
        <v>Not Available</v>
      </c>
    </row>
    <row r="341" spans="1:12" x14ac:dyDescent="0.25">
      <c r="A341" t="s">
        <v>1029</v>
      </c>
      <c r="B341" t="s">
        <v>1030</v>
      </c>
      <c r="C341">
        <v>48</v>
      </c>
      <c r="D341">
        <v>5000</v>
      </c>
      <c r="E341" s="1">
        <v>45195</v>
      </c>
      <c r="F341" t="s">
        <v>1031</v>
      </c>
      <c r="G341">
        <v>48568</v>
      </c>
      <c r="H341" t="s">
        <v>14</v>
      </c>
      <c r="I341" t="s">
        <v>66</v>
      </c>
      <c r="J341" t="s">
        <v>21</v>
      </c>
      <c r="K341">
        <v>2.7</v>
      </c>
      <c r="L341" s="2" t="str">
        <f>IF(LEN(Table1[[#This Row],[phone]]) = 10, Table1[[#This Row],[phone]],"Not Available")</f>
        <v>Not Available</v>
      </c>
    </row>
    <row r="342" spans="1:12" x14ac:dyDescent="0.25">
      <c r="A342" t="s">
        <v>1032</v>
      </c>
      <c r="B342" t="s">
        <v>1033</v>
      </c>
      <c r="C342">
        <v>48</v>
      </c>
      <c r="D342">
        <v>143886</v>
      </c>
      <c r="E342" s="1">
        <v>45157</v>
      </c>
      <c r="F342" t="s">
        <v>1034</v>
      </c>
      <c r="G342">
        <v>1464836922</v>
      </c>
      <c r="H342" t="s">
        <v>14</v>
      </c>
      <c r="I342" t="s">
        <v>37</v>
      </c>
      <c r="J342" t="s">
        <v>21</v>
      </c>
      <c r="K342">
        <v>7</v>
      </c>
      <c r="L342" s="2">
        <f>IF(LEN(Table1[[#This Row],[phone]]) = 10, Table1[[#This Row],[phone]],"Not Available")</f>
        <v>1464836922</v>
      </c>
    </row>
    <row r="343" spans="1:12" x14ac:dyDescent="0.25">
      <c r="A343" t="s">
        <v>1035</v>
      </c>
      <c r="B343" t="s">
        <v>1036</v>
      </c>
      <c r="C343">
        <v>66</v>
      </c>
      <c r="D343">
        <v>143886</v>
      </c>
      <c r="E343" s="1">
        <v>43543</v>
      </c>
      <c r="F343" t="s">
        <v>1037</v>
      </c>
      <c r="G343">
        <v>9680533938</v>
      </c>
      <c r="H343" t="s">
        <v>20</v>
      </c>
      <c r="I343" t="s">
        <v>37</v>
      </c>
      <c r="J343" t="s">
        <v>16</v>
      </c>
      <c r="K343">
        <v>7</v>
      </c>
      <c r="L343" s="2">
        <f>IF(LEN(Table1[[#This Row],[phone]]) = 10, Table1[[#This Row],[phone]],"Not Available")</f>
        <v>9680533938</v>
      </c>
    </row>
    <row r="344" spans="1:12" x14ac:dyDescent="0.25">
      <c r="A344" t="s">
        <v>1038</v>
      </c>
      <c r="B344" t="s">
        <v>1039</v>
      </c>
      <c r="C344">
        <v>48</v>
      </c>
      <c r="D344">
        <v>5000</v>
      </c>
      <c r="E344" s="1">
        <v>43839</v>
      </c>
      <c r="F344" t="s">
        <v>1040</v>
      </c>
      <c r="G344">
        <v>175880479</v>
      </c>
      <c r="H344" t="s">
        <v>70</v>
      </c>
      <c r="I344" t="s">
        <v>29</v>
      </c>
      <c r="J344" t="s">
        <v>16</v>
      </c>
      <c r="K344">
        <v>2</v>
      </c>
      <c r="L344" s="2" t="str">
        <f>IF(LEN(Table1[[#This Row],[phone]]) = 10, Table1[[#This Row],[phone]],"Not Available")</f>
        <v>Not Available</v>
      </c>
    </row>
    <row r="345" spans="1:12" x14ac:dyDescent="0.25">
      <c r="A345" t="s">
        <v>1041</v>
      </c>
      <c r="B345" t="s">
        <v>1042</v>
      </c>
      <c r="C345">
        <v>48</v>
      </c>
      <c r="D345">
        <v>143886</v>
      </c>
      <c r="E345" s="1">
        <v>42772</v>
      </c>
      <c r="F345" t="s">
        <v>1043</v>
      </c>
      <c r="G345">
        <v>4861323035</v>
      </c>
      <c r="H345" t="s">
        <v>20</v>
      </c>
      <c r="I345" t="s">
        <v>15</v>
      </c>
      <c r="J345" t="s">
        <v>16</v>
      </c>
      <c r="K345">
        <v>-2</v>
      </c>
      <c r="L345" s="2">
        <f>IF(LEN(Table1[[#This Row],[phone]]) = 10, Table1[[#This Row],[phone]],"Not Available")</f>
        <v>4861323035</v>
      </c>
    </row>
    <row r="346" spans="1:12" x14ac:dyDescent="0.25">
      <c r="A346" t="s">
        <v>1044</v>
      </c>
      <c r="B346" t="s">
        <v>1045</v>
      </c>
      <c r="C346">
        <v>76</v>
      </c>
      <c r="D346">
        <v>5000</v>
      </c>
      <c r="E346" s="1">
        <v>45802</v>
      </c>
      <c r="F346" t="s">
        <v>1046</v>
      </c>
      <c r="G346">
        <v>15997</v>
      </c>
      <c r="H346" t="s">
        <v>14</v>
      </c>
      <c r="I346" t="s">
        <v>66</v>
      </c>
      <c r="J346" t="s">
        <v>16</v>
      </c>
      <c r="K346">
        <v>7</v>
      </c>
      <c r="L346" s="2" t="str">
        <f>IF(LEN(Table1[[#This Row],[phone]]) = 10, Table1[[#This Row],[phone]],"Not Available")</f>
        <v>Not Available</v>
      </c>
    </row>
    <row r="347" spans="1:12" x14ac:dyDescent="0.25">
      <c r="A347" t="s">
        <v>1047</v>
      </c>
      <c r="B347" t="s">
        <v>1048</v>
      </c>
      <c r="C347">
        <v>48</v>
      </c>
      <c r="D347">
        <v>143886</v>
      </c>
      <c r="E347" s="1">
        <v>42901</v>
      </c>
      <c r="F347" t="s">
        <v>1049</v>
      </c>
      <c r="G347">
        <v>8195238819</v>
      </c>
      <c r="H347" t="s">
        <v>65</v>
      </c>
      <c r="I347" t="s">
        <v>15</v>
      </c>
      <c r="J347" t="s">
        <v>16</v>
      </c>
      <c r="K347">
        <v>-2</v>
      </c>
      <c r="L347" s="2">
        <f>IF(LEN(Table1[[#This Row],[phone]]) = 10, Table1[[#This Row],[phone]],"Not Available")</f>
        <v>8195238819</v>
      </c>
    </row>
    <row r="348" spans="1:12" x14ac:dyDescent="0.25">
      <c r="A348" t="s">
        <v>1050</v>
      </c>
      <c r="B348" t="s">
        <v>1051</v>
      </c>
      <c r="C348">
        <v>48</v>
      </c>
      <c r="D348">
        <v>266452</v>
      </c>
      <c r="E348" s="1">
        <v>43193</v>
      </c>
      <c r="F348" t="s">
        <v>1052</v>
      </c>
      <c r="G348">
        <v>3471584380</v>
      </c>
      <c r="H348" t="s">
        <v>20</v>
      </c>
      <c r="I348" t="s">
        <v>29</v>
      </c>
      <c r="J348" t="s">
        <v>16</v>
      </c>
      <c r="K348">
        <v>7</v>
      </c>
      <c r="L348" s="2">
        <f>IF(LEN(Table1[[#This Row],[phone]]) = 10, Table1[[#This Row],[phone]],"Not Available")</f>
        <v>3471584380</v>
      </c>
    </row>
    <row r="349" spans="1:12" x14ac:dyDescent="0.25">
      <c r="A349" t="s">
        <v>1053</v>
      </c>
      <c r="B349" t="s">
        <v>1054</v>
      </c>
      <c r="C349">
        <v>48</v>
      </c>
      <c r="D349">
        <v>143886</v>
      </c>
      <c r="E349" s="1">
        <v>45089</v>
      </c>
      <c r="F349" t="s">
        <v>1055</v>
      </c>
      <c r="G349">
        <v>9645479446</v>
      </c>
      <c r="H349" t="s">
        <v>65</v>
      </c>
      <c r="I349" t="s">
        <v>15</v>
      </c>
      <c r="J349" t="s">
        <v>16</v>
      </c>
      <c r="K349">
        <v>7</v>
      </c>
      <c r="L349" s="2">
        <f>IF(LEN(Table1[[#This Row],[phone]]) = 10, Table1[[#This Row],[phone]],"Not Available")</f>
        <v>9645479446</v>
      </c>
    </row>
    <row r="350" spans="1:12" x14ac:dyDescent="0.25">
      <c r="A350" t="s">
        <v>1056</v>
      </c>
      <c r="B350" t="s">
        <v>1057</v>
      </c>
      <c r="C350">
        <v>86</v>
      </c>
      <c r="D350">
        <v>143886</v>
      </c>
      <c r="E350" s="1">
        <v>43174</v>
      </c>
      <c r="F350" t="s">
        <v>1058</v>
      </c>
      <c r="G350">
        <v>65945</v>
      </c>
      <c r="H350" t="s">
        <v>20</v>
      </c>
      <c r="I350" t="s">
        <v>15</v>
      </c>
      <c r="J350" t="s">
        <v>16</v>
      </c>
      <c r="K350">
        <v>2.7</v>
      </c>
      <c r="L350" s="2" t="str">
        <f>IF(LEN(Table1[[#This Row],[phone]]) = 10, Table1[[#This Row],[phone]],"Not Available")</f>
        <v>Not Available</v>
      </c>
    </row>
    <row r="351" spans="1:12" x14ac:dyDescent="0.25">
      <c r="A351" t="s">
        <v>1059</v>
      </c>
      <c r="B351" t="s">
        <v>1060</v>
      </c>
      <c r="C351">
        <v>25</v>
      </c>
      <c r="D351">
        <v>75757</v>
      </c>
      <c r="E351" s="1">
        <v>46204</v>
      </c>
      <c r="F351" t="s">
        <v>69</v>
      </c>
      <c r="G351">
        <v>9938528348</v>
      </c>
      <c r="H351" t="s">
        <v>65</v>
      </c>
      <c r="I351" t="s">
        <v>15</v>
      </c>
      <c r="J351" t="s">
        <v>16</v>
      </c>
      <c r="K351">
        <v>2.7</v>
      </c>
      <c r="L351" s="2">
        <f>IF(LEN(Table1[[#This Row],[phone]]) = 10, Table1[[#This Row],[phone]],"Not Available")</f>
        <v>9938528348</v>
      </c>
    </row>
    <row r="352" spans="1:12" x14ac:dyDescent="0.25">
      <c r="A352" t="s">
        <v>1061</v>
      </c>
      <c r="B352" t="s">
        <v>1062</v>
      </c>
      <c r="C352">
        <v>48</v>
      </c>
      <c r="D352">
        <v>143886</v>
      </c>
      <c r="E352" s="1">
        <v>44267</v>
      </c>
      <c r="F352" t="s">
        <v>1063</v>
      </c>
      <c r="G352">
        <v>43447</v>
      </c>
      <c r="H352" t="s">
        <v>70</v>
      </c>
      <c r="I352" t="s">
        <v>25</v>
      </c>
      <c r="J352" t="s">
        <v>16</v>
      </c>
      <c r="K352">
        <v>2.7</v>
      </c>
      <c r="L352" s="2" t="str">
        <f>IF(LEN(Table1[[#This Row],[phone]]) = 10, Table1[[#This Row],[phone]],"Not Available")</f>
        <v>Not Available</v>
      </c>
    </row>
    <row r="353" spans="1:12" x14ac:dyDescent="0.25">
      <c r="A353" t="s">
        <v>1064</v>
      </c>
      <c r="B353" t="s">
        <v>1065</v>
      </c>
      <c r="C353">
        <v>48</v>
      </c>
      <c r="D353">
        <v>399667</v>
      </c>
      <c r="E353" s="1">
        <v>44690</v>
      </c>
      <c r="F353" t="s">
        <v>1066</v>
      </c>
      <c r="G353">
        <v>3965708709</v>
      </c>
      <c r="H353" t="s">
        <v>14</v>
      </c>
      <c r="I353" t="s">
        <v>29</v>
      </c>
      <c r="J353" t="s">
        <v>16</v>
      </c>
      <c r="K353">
        <v>5</v>
      </c>
      <c r="L353" s="2">
        <f>IF(LEN(Table1[[#This Row],[phone]]) = 10, Table1[[#This Row],[phone]],"Not Available")</f>
        <v>3965708709</v>
      </c>
    </row>
    <row r="354" spans="1:12" x14ac:dyDescent="0.25">
      <c r="A354" t="s">
        <v>1067</v>
      </c>
      <c r="B354" t="s">
        <v>1068</v>
      </c>
      <c r="C354">
        <v>25</v>
      </c>
      <c r="D354">
        <v>143886</v>
      </c>
      <c r="E354" s="1">
        <v>43059</v>
      </c>
      <c r="F354" t="s">
        <v>1069</v>
      </c>
      <c r="G354">
        <v>3021197499</v>
      </c>
      <c r="H354" t="s">
        <v>20</v>
      </c>
      <c r="I354" t="s">
        <v>25</v>
      </c>
      <c r="J354" t="s">
        <v>16</v>
      </c>
      <c r="K354">
        <v>1.5</v>
      </c>
      <c r="L354" s="2">
        <f>IF(LEN(Table1[[#This Row],[phone]]) = 10, Table1[[#This Row],[phone]],"Not Available")</f>
        <v>3021197499</v>
      </c>
    </row>
    <row r="355" spans="1:12" x14ac:dyDescent="0.25">
      <c r="A355" t="s">
        <v>1070</v>
      </c>
      <c r="B355" t="s">
        <v>1071</v>
      </c>
      <c r="C355">
        <v>89</v>
      </c>
      <c r="D355">
        <v>143886</v>
      </c>
      <c r="E355" s="1">
        <v>44410</v>
      </c>
      <c r="F355" t="s">
        <v>1072</v>
      </c>
      <c r="G355">
        <v>7672256816</v>
      </c>
      <c r="H355" t="s">
        <v>65</v>
      </c>
      <c r="I355" t="s">
        <v>15</v>
      </c>
      <c r="J355" t="s">
        <v>16</v>
      </c>
      <c r="K355">
        <v>-2</v>
      </c>
      <c r="L355" s="2">
        <f>IF(LEN(Table1[[#This Row],[phone]]) = 10, Table1[[#This Row],[phone]],"Not Available")</f>
        <v>7672256816</v>
      </c>
    </row>
    <row r="356" spans="1:12" x14ac:dyDescent="0.25">
      <c r="A356" t="s">
        <v>1073</v>
      </c>
      <c r="B356" t="s">
        <v>1074</v>
      </c>
      <c r="C356">
        <v>48</v>
      </c>
      <c r="D356">
        <v>498320</v>
      </c>
      <c r="E356" s="1">
        <v>43677</v>
      </c>
      <c r="F356" t="s">
        <v>1075</v>
      </c>
      <c r="G356">
        <v>6329508106</v>
      </c>
      <c r="H356" t="s">
        <v>65</v>
      </c>
      <c r="I356" t="s">
        <v>37</v>
      </c>
      <c r="J356" t="s">
        <v>16</v>
      </c>
      <c r="K356">
        <v>4.5</v>
      </c>
      <c r="L356" s="2">
        <f>IF(LEN(Table1[[#This Row],[phone]]) = 10, Table1[[#This Row],[phone]],"Not Available")</f>
        <v>6329508106</v>
      </c>
    </row>
    <row r="357" spans="1:12" x14ac:dyDescent="0.25">
      <c r="A357" t="s">
        <v>1076</v>
      </c>
      <c r="B357" t="s">
        <v>1077</v>
      </c>
      <c r="C357">
        <v>87</v>
      </c>
      <c r="D357">
        <v>143886</v>
      </c>
      <c r="E357" s="1">
        <v>43466</v>
      </c>
      <c r="F357" t="s">
        <v>1078</v>
      </c>
      <c r="G357">
        <v>86893608</v>
      </c>
      <c r="H357" t="s">
        <v>33</v>
      </c>
      <c r="I357" t="s">
        <v>25</v>
      </c>
      <c r="J357" t="s">
        <v>21</v>
      </c>
      <c r="K357">
        <v>7</v>
      </c>
      <c r="L357" s="2" t="str">
        <f>IF(LEN(Table1[[#This Row],[phone]]) = 10, Table1[[#This Row],[phone]],"Not Available")</f>
        <v>Not Available</v>
      </c>
    </row>
    <row r="358" spans="1:12" x14ac:dyDescent="0.25">
      <c r="A358" t="s">
        <v>1079</v>
      </c>
      <c r="B358" t="s">
        <v>1080</v>
      </c>
      <c r="C358">
        <v>87</v>
      </c>
      <c r="D358">
        <v>178372</v>
      </c>
      <c r="E358" s="1">
        <v>42960</v>
      </c>
      <c r="F358" t="s">
        <v>69</v>
      </c>
      <c r="G358">
        <v>2857803250</v>
      </c>
      <c r="H358" t="s">
        <v>65</v>
      </c>
      <c r="I358" t="s">
        <v>66</v>
      </c>
      <c r="J358" t="s">
        <v>16</v>
      </c>
      <c r="K358">
        <v>2.7</v>
      </c>
      <c r="L358" s="2">
        <f>IF(LEN(Table1[[#This Row],[phone]]) = 10, Table1[[#This Row],[phone]],"Not Available")</f>
        <v>2857803250</v>
      </c>
    </row>
    <row r="359" spans="1:12" x14ac:dyDescent="0.25">
      <c r="A359" t="s">
        <v>1081</v>
      </c>
      <c r="B359" t="s">
        <v>1082</v>
      </c>
      <c r="C359">
        <v>25</v>
      </c>
      <c r="D359">
        <v>143886</v>
      </c>
      <c r="E359" s="1">
        <v>43036</v>
      </c>
      <c r="F359" t="s">
        <v>69</v>
      </c>
      <c r="G359">
        <v>1156327116</v>
      </c>
      <c r="H359" t="s">
        <v>20</v>
      </c>
      <c r="I359" t="s">
        <v>15</v>
      </c>
      <c r="J359" t="s">
        <v>21</v>
      </c>
      <c r="K359">
        <v>2.7</v>
      </c>
      <c r="L359" s="2">
        <f>IF(LEN(Table1[[#This Row],[phone]]) = 10, Table1[[#This Row],[phone]],"Not Available")</f>
        <v>1156327116</v>
      </c>
    </row>
    <row r="360" spans="1:12" x14ac:dyDescent="0.25">
      <c r="A360" t="s">
        <v>1083</v>
      </c>
      <c r="B360" t="s">
        <v>1084</v>
      </c>
      <c r="C360">
        <v>65</v>
      </c>
      <c r="D360">
        <v>5000</v>
      </c>
      <c r="E360" s="1">
        <v>43280</v>
      </c>
      <c r="F360" t="s">
        <v>1085</v>
      </c>
      <c r="G360">
        <v>3050303063</v>
      </c>
      <c r="H360" t="s">
        <v>33</v>
      </c>
      <c r="I360" t="s">
        <v>15</v>
      </c>
      <c r="J360" t="s">
        <v>21</v>
      </c>
      <c r="K360">
        <v>2.7</v>
      </c>
      <c r="L360" s="2">
        <f>IF(LEN(Table1[[#This Row],[phone]]) = 10, Table1[[#This Row],[phone]],"Not Available")</f>
        <v>3050303063</v>
      </c>
    </row>
    <row r="361" spans="1:12" x14ac:dyDescent="0.25">
      <c r="A361" t="s">
        <v>1086</v>
      </c>
      <c r="B361" t="s">
        <v>1087</v>
      </c>
      <c r="C361">
        <v>48</v>
      </c>
      <c r="D361">
        <v>5000</v>
      </c>
      <c r="E361" s="1">
        <v>44411</v>
      </c>
      <c r="F361" t="s">
        <v>1088</v>
      </c>
      <c r="G361">
        <v>5049804407</v>
      </c>
      <c r="H361" t="s">
        <v>65</v>
      </c>
      <c r="I361" t="s">
        <v>15</v>
      </c>
      <c r="J361" t="s">
        <v>16</v>
      </c>
      <c r="K361">
        <v>-2</v>
      </c>
      <c r="L361" s="2">
        <f>IF(LEN(Table1[[#This Row],[phone]]) = 10, Table1[[#This Row],[phone]],"Not Available")</f>
        <v>5049804407</v>
      </c>
    </row>
    <row r="362" spans="1:12" x14ac:dyDescent="0.25">
      <c r="A362" t="s">
        <v>1089</v>
      </c>
      <c r="B362" t="s">
        <v>1090</v>
      </c>
      <c r="C362">
        <v>48</v>
      </c>
      <c r="D362">
        <v>5000</v>
      </c>
      <c r="E362" s="1">
        <v>43639</v>
      </c>
      <c r="F362" t="s">
        <v>1091</v>
      </c>
      <c r="G362">
        <v>91218</v>
      </c>
      <c r="H362" t="s">
        <v>65</v>
      </c>
      <c r="I362" t="s">
        <v>25</v>
      </c>
      <c r="J362" t="s">
        <v>21</v>
      </c>
      <c r="K362">
        <v>4.4000000000000004</v>
      </c>
      <c r="L362" s="2" t="str">
        <f>IF(LEN(Table1[[#This Row],[phone]]) = 10, Table1[[#This Row],[phone]],"Not Available")</f>
        <v>Not Available</v>
      </c>
    </row>
    <row r="363" spans="1:12" x14ac:dyDescent="0.25">
      <c r="A363" t="s">
        <v>1092</v>
      </c>
      <c r="B363" t="s">
        <v>1093</v>
      </c>
      <c r="C363">
        <v>25</v>
      </c>
      <c r="D363">
        <v>143886</v>
      </c>
      <c r="E363" s="1">
        <v>45800</v>
      </c>
      <c r="F363" t="s">
        <v>1094</v>
      </c>
      <c r="G363">
        <v>9224453007</v>
      </c>
      <c r="H363" t="s">
        <v>20</v>
      </c>
      <c r="I363" t="s">
        <v>15</v>
      </c>
      <c r="J363" t="s">
        <v>16</v>
      </c>
      <c r="K363">
        <v>1</v>
      </c>
      <c r="L363" s="2">
        <f>IF(LEN(Table1[[#This Row],[phone]]) = 10, Table1[[#This Row],[phone]],"Not Available")</f>
        <v>9224453007</v>
      </c>
    </row>
    <row r="364" spans="1:12" x14ac:dyDescent="0.25">
      <c r="A364" t="s">
        <v>1095</v>
      </c>
      <c r="B364" t="s">
        <v>1096</v>
      </c>
      <c r="C364">
        <v>48</v>
      </c>
      <c r="D364">
        <v>5000</v>
      </c>
      <c r="E364" s="1">
        <v>44098</v>
      </c>
      <c r="F364" t="s">
        <v>1097</v>
      </c>
      <c r="G364">
        <v>7994660702</v>
      </c>
      <c r="H364" t="s">
        <v>65</v>
      </c>
      <c r="I364" t="s">
        <v>25</v>
      </c>
      <c r="J364" t="s">
        <v>16</v>
      </c>
      <c r="K364">
        <v>1.8</v>
      </c>
      <c r="L364" s="2">
        <f>IF(LEN(Table1[[#This Row],[phone]]) = 10, Table1[[#This Row],[phone]],"Not Available")</f>
        <v>7994660702</v>
      </c>
    </row>
    <row r="365" spans="1:12" x14ac:dyDescent="0.25">
      <c r="A365" t="s">
        <v>1098</v>
      </c>
      <c r="B365" t="s">
        <v>1099</v>
      </c>
      <c r="C365">
        <v>48</v>
      </c>
      <c r="D365">
        <v>5000</v>
      </c>
      <c r="E365" s="1">
        <v>45764</v>
      </c>
      <c r="F365" t="s">
        <v>1100</v>
      </c>
      <c r="G365">
        <v>37836</v>
      </c>
      <c r="H365" t="s">
        <v>65</v>
      </c>
      <c r="I365" t="s">
        <v>25</v>
      </c>
      <c r="J365" t="s">
        <v>16</v>
      </c>
      <c r="K365">
        <v>-2</v>
      </c>
      <c r="L365" s="2" t="str">
        <f>IF(LEN(Table1[[#This Row],[phone]]) = 10, Table1[[#This Row],[phone]],"Not Available")</f>
        <v>Not Available</v>
      </c>
    </row>
    <row r="366" spans="1:12" x14ac:dyDescent="0.25">
      <c r="A366" t="s">
        <v>1101</v>
      </c>
      <c r="B366" t="s">
        <v>1102</v>
      </c>
      <c r="C366">
        <v>62</v>
      </c>
      <c r="D366">
        <v>370643</v>
      </c>
      <c r="E366" s="1">
        <v>44352</v>
      </c>
      <c r="F366" t="s">
        <v>1103</v>
      </c>
      <c r="G366">
        <v>7631448482</v>
      </c>
      <c r="H366" t="s">
        <v>70</v>
      </c>
      <c r="I366" t="s">
        <v>37</v>
      </c>
      <c r="J366" t="s">
        <v>21</v>
      </c>
      <c r="K366">
        <v>-2</v>
      </c>
      <c r="L366" s="2">
        <f>IF(LEN(Table1[[#This Row],[phone]]) = 10, Table1[[#This Row],[phone]],"Not Available")</f>
        <v>7631448482</v>
      </c>
    </row>
    <row r="367" spans="1:12" x14ac:dyDescent="0.25">
      <c r="A367" t="s">
        <v>1104</v>
      </c>
      <c r="B367" t="s">
        <v>1105</v>
      </c>
      <c r="C367">
        <v>48</v>
      </c>
      <c r="D367">
        <v>5000</v>
      </c>
      <c r="E367" s="1">
        <v>43331</v>
      </c>
      <c r="F367" t="s">
        <v>69</v>
      </c>
      <c r="G367">
        <v>1621518392</v>
      </c>
      <c r="H367" t="s">
        <v>14</v>
      </c>
      <c r="I367" t="s">
        <v>29</v>
      </c>
      <c r="J367" t="s">
        <v>16</v>
      </c>
      <c r="K367">
        <v>2.7</v>
      </c>
      <c r="L367" s="2">
        <f>IF(LEN(Table1[[#This Row],[phone]]) = 10, Table1[[#This Row],[phone]],"Not Available")</f>
        <v>1621518392</v>
      </c>
    </row>
    <row r="368" spans="1:12" x14ac:dyDescent="0.25">
      <c r="A368" t="s">
        <v>1106</v>
      </c>
      <c r="B368" t="s">
        <v>1107</v>
      </c>
      <c r="C368">
        <v>65</v>
      </c>
      <c r="D368">
        <v>286629</v>
      </c>
      <c r="E368" s="1">
        <v>46238</v>
      </c>
      <c r="F368" t="s">
        <v>1108</v>
      </c>
      <c r="G368">
        <v>5798725228</v>
      </c>
      <c r="H368" t="s">
        <v>65</v>
      </c>
      <c r="I368" t="s">
        <v>15</v>
      </c>
      <c r="J368" t="s">
        <v>21</v>
      </c>
      <c r="K368">
        <v>2.1</v>
      </c>
      <c r="L368" s="2">
        <f>IF(LEN(Table1[[#This Row],[phone]]) = 10, Table1[[#This Row],[phone]],"Not Available")</f>
        <v>5798725228</v>
      </c>
    </row>
    <row r="369" spans="1:12" x14ac:dyDescent="0.25">
      <c r="A369" t="s">
        <v>1109</v>
      </c>
      <c r="B369" t="s">
        <v>1110</v>
      </c>
      <c r="C369">
        <v>76</v>
      </c>
      <c r="D369">
        <v>50513</v>
      </c>
      <c r="E369" s="1">
        <v>43345</v>
      </c>
      <c r="F369" t="s">
        <v>1111</v>
      </c>
      <c r="G369">
        <v>1028851058</v>
      </c>
      <c r="H369" t="s">
        <v>20</v>
      </c>
      <c r="I369" t="s">
        <v>15</v>
      </c>
      <c r="J369" t="s">
        <v>16</v>
      </c>
      <c r="K369">
        <v>2.4</v>
      </c>
      <c r="L369" s="2">
        <f>IF(LEN(Table1[[#This Row],[phone]]) = 10, Table1[[#This Row],[phone]],"Not Available")</f>
        <v>1028851058</v>
      </c>
    </row>
    <row r="370" spans="1:12" x14ac:dyDescent="0.25">
      <c r="A370" t="s">
        <v>1112</v>
      </c>
      <c r="B370" t="s">
        <v>1113</v>
      </c>
      <c r="C370">
        <v>40</v>
      </c>
      <c r="D370">
        <v>143886</v>
      </c>
      <c r="E370" s="1">
        <v>42516</v>
      </c>
      <c r="F370" t="s">
        <v>1114</v>
      </c>
      <c r="G370">
        <v>52023</v>
      </c>
      <c r="H370" t="s">
        <v>65</v>
      </c>
      <c r="I370" t="s">
        <v>15</v>
      </c>
      <c r="J370" t="s">
        <v>21</v>
      </c>
      <c r="K370">
        <v>4.9000000000000004</v>
      </c>
      <c r="L370" s="2" t="str">
        <f>IF(LEN(Table1[[#This Row],[phone]]) = 10, Table1[[#This Row],[phone]],"Not Available")</f>
        <v>Not Available</v>
      </c>
    </row>
    <row r="371" spans="1:12" x14ac:dyDescent="0.25">
      <c r="A371" t="s">
        <v>1115</v>
      </c>
      <c r="B371" t="s">
        <v>1116</v>
      </c>
      <c r="C371">
        <v>25</v>
      </c>
      <c r="D371">
        <v>143886</v>
      </c>
      <c r="E371" s="1">
        <v>42806</v>
      </c>
      <c r="F371" t="s">
        <v>1117</v>
      </c>
      <c r="G371">
        <v>6442687954</v>
      </c>
      <c r="H371" t="s">
        <v>33</v>
      </c>
      <c r="I371" t="s">
        <v>25</v>
      </c>
      <c r="J371" t="s">
        <v>16</v>
      </c>
      <c r="K371">
        <v>2.7</v>
      </c>
      <c r="L371" s="2">
        <f>IF(LEN(Table1[[#This Row],[phone]]) = 10, Table1[[#This Row],[phone]],"Not Available")</f>
        <v>6442687954</v>
      </c>
    </row>
    <row r="372" spans="1:12" x14ac:dyDescent="0.25">
      <c r="A372" t="s">
        <v>1118</v>
      </c>
      <c r="B372" t="s">
        <v>1119</v>
      </c>
      <c r="C372">
        <v>71</v>
      </c>
      <c r="D372">
        <v>143886</v>
      </c>
      <c r="E372" s="1">
        <v>43106</v>
      </c>
      <c r="F372" t="s">
        <v>1120</v>
      </c>
      <c r="G372">
        <v>9377216429</v>
      </c>
      <c r="H372" t="s">
        <v>20</v>
      </c>
      <c r="I372" t="s">
        <v>15</v>
      </c>
      <c r="J372" t="s">
        <v>21</v>
      </c>
      <c r="K372">
        <v>-2</v>
      </c>
      <c r="L372" s="2">
        <f>IF(LEN(Table1[[#This Row],[phone]]) = 10, Table1[[#This Row],[phone]],"Not Available")</f>
        <v>9377216429</v>
      </c>
    </row>
    <row r="373" spans="1:12" x14ac:dyDescent="0.25">
      <c r="A373" t="s">
        <v>1121</v>
      </c>
      <c r="B373" t="s">
        <v>1122</v>
      </c>
      <c r="C373">
        <v>48</v>
      </c>
      <c r="D373">
        <v>5000</v>
      </c>
      <c r="E373" s="1">
        <v>43480</v>
      </c>
      <c r="F373" t="s">
        <v>1123</v>
      </c>
      <c r="G373">
        <v>2991714617</v>
      </c>
      <c r="H373" t="s">
        <v>20</v>
      </c>
      <c r="I373" t="s">
        <v>29</v>
      </c>
      <c r="J373" t="s">
        <v>16</v>
      </c>
      <c r="K373">
        <v>2.7</v>
      </c>
      <c r="L373" s="2">
        <f>IF(LEN(Table1[[#This Row],[phone]]) = 10, Table1[[#This Row],[phone]],"Not Available")</f>
        <v>2991714617</v>
      </c>
    </row>
    <row r="374" spans="1:12" x14ac:dyDescent="0.25">
      <c r="A374" t="s">
        <v>1124</v>
      </c>
      <c r="B374" t="s">
        <v>1125</v>
      </c>
      <c r="C374">
        <v>48</v>
      </c>
      <c r="D374">
        <v>5000</v>
      </c>
      <c r="E374" s="1">
        <v>45481</v>
      </c>
      <c r="F374" t="s">
        <v>1126</v>
      </c>
      <c r="G374">
        <v>4695251496</v>
      </c>
      <c r="H374" t="s">
        <v>65</v>
      </c>
      <c r="I374" t="s">
        <v>15</v>
      </c>
      <c r="J374" t="s">
        <v>21</v>
      </c>
      <c r="K374">
        <v>2.7</v>
      </c>
      <c r="L374" s="2">
        <f>IF(LEN(Table1[[#This Row],[phone]]) = 10, Table1[[#This Row],[phone]],"Not Available")</f>
        <v>4695251496</v>
      </c>
    </row>
    <row r="375" spans="1:12" x14ac:dyDescent="0.25">
      <c r="A375" t="s">
        <v>1127</v>
      </c>
      <c r="B375" t="s">
        <v>1128</v>
      </c>
      <c r="C375">
        <v>48</v>
      </c>
      <c r="D375">
        <v>5000</v>
      </c>
      <c r="E375" s="1">
        <v>43450</v>
      </c>
      <c r="F375" t="s">
        <v>1129</v>
      </c>
      <c r="G375">
        <v>3757702811</v>
      </c>
      <c r="H375" t="s">
        <v>70</v>
      </c>
      <c r="I375" t="s">
        <v>25</v>
      </c>
      <c r="J375" t="s">
        <v>16</v>
      </c>
      <c r="K375">
        <v>7</v>
      </c>
      <c r="L375" s="2">
        <f>IF(LEN(Table1[[#This Row],[phone]]) = 10, Table1[[#This Row],[phone]],"Not Available")</f>
        <v>3757702811</v>
      </c>
    </row>
    <row r="376" spans="1:12" x14ac:dyDescent="0.25">
      <c r="A376" t="s">
        <v>1130</v>
      </c>
      <c r="B376" t="s">
        <v>1131</v>
      </c>
      <c r="C376">
        <v>79</v>
      </c>
      <c r="D376">
        <v>420955</v>
      </c>
      <c r="E376" s="1">
        <v>44993</v>
      </c>
      <c r="F376" t="s">
        <v>1132</v>
      </c>
      <c r="G376">
        <v>8493470884</v>
      </c>
      <c r="H376" t="s">
        <v>20</v>
      </c>
      <c r="I376" t="s">
        <v>37</v>
      </c>
      <c r="J376" t="s">
        <v>16</v>
      </c>
      <c r="K376">
        <v>4</v>
      </c>
      <c r="L376" s="2">
        <f>IF(LEN(Table1[[#This Row],[phone]]) = 10, Table1[[#This Row],[phone]],"Not Available")</f>
        <v>8493470884</v>
      </c>
    </row>
    <row r="377" spans="1:12" x14ac:dyDescent="0.25">
      <c r="A377" t="s">
        <v>1133</v>
      </c>
      <c r="B377" t="s">
        <v>1134</v>
      </c>
      <c r="C377">
        <v>25</v>
      </c>
      <c r="D377">
        <v>143886</v>
      </c>
      <c r="E377" s="1">
        <v>42440</v>
      </c>
      <c r="F377" t="s">
        <v>1135</v>
      </c>
      <c r="G377">
        <v>9059458607</v>
      </c>
      <c r="H377" t="s">
        <v>14</v>
      </c>
      <c r="I377" t="s">
        <v>37</v>
      </c>
      <c r="J377" t="s">
        <v>16</v>
      </c>
      <c r="K377">
        <v>2.7</v>
      </c>
      <c r="L377" s="2">
        <f>IF(LEN(Table1[[#This Row],[phone]]) = 10, Table1[[#This Row],[phone]],"Not Available")</f>
        <v>9059458607</v>
      </c>
    </row>
    <row r="378" spans="1:12" x14ac:dyDescent="0.25">
      <c r="A378" t="s">
        <v>1136</v>
      </c>
      <c r="B378" t="s">
        <v>1137</v>
      </c>
      <c r="C378">
        <v>44</v>
      </c>
      <c r="D378">
        <v>460978</v>
      </c>
      <c r="E378" s="1">
        <v>43964</v>
      </c>
      <c r="F378" t="s">
        <v>1138</v>
      </c>
      <c r="G378">
        <v>3380368777</v>
      </c>
      <c r="H378" t="s">
        <v>20</v>
      </c>
      <c r="I378" t="s">
        <v>15</v>
      </c>
      <c r="J378" t="s">
        <v>16</v>
      </c>
      <c r="K378">
        <v>-2</v>
      </c>
      <c r="L378" s="2">
        <f>IF(LEN(Table1[[#This Row],[phone]]) = 10, Table1[[#This Row],[phone]],"Not Available")</f>
        <v>3380368777</v>
      </c>
    </row>
    <row r="379" spans="1:12" x14ac:dyDescent="0.25">
      <c r="A379" t="s">
        <v>1139</v>
      </c>
      <c r="B379" t="s">
        <v>1140</v>
      </c>
      <c r="C379">
        <v>25</v>
      </c>
      <c r="D379">
        <v>143886</v>
      </c>
      <c r="E379" s="1">
        <v>42810</v>
      </c>
      <c r="F379" t="s">
        <v>1141</v>
      </c>
      <c r="G379">
        <v>3010486802</v>
      </c>
      <c r="H379" t="s">
        <v>20</v>
      </c>
      <c r="I379" t="s">
        <v>15</v>
      </c>
      <c r="J379" t="s">
        <v>21</v>
      </c>
      <c r="K379">
        <v>7</v>
      </c>
      <c r="L379" s="2">
        <f>IF(LEN(Table1[[#This Row],[phone]]) = 10, Table1[[#This Row],[phone]],"Not Available")</f>
        <v>3010486802</v>
      </c>
    </row>
    <row r="380" spans="1:12" x14ac:dyDescent="0.25">
      <c r="A380" t="s">
        <v>1142</v>
      </c>
      <c r="B380" t="s">
        <v>1143</v>
      </c>
      <c r="C380">
        <v>25</v>
      </c>
      <c r="D380">
        <v>143886</v>
      </c>
      <c r="E380" s="1">
        <v>42546</v>
      </c>
      <c r="F380" t="s">
        <v>1144</v>
      </c>
      <c r="G380">
        <v>200831047</v>
      </c>
      <c r="H380" t="s">
        <v>20</v>
      </c>
      <c r="I380" t="s">
        <v>66</v>
      </c>
      <c r="J380" t="s">
        <v>16</v>
      </c>
      <c r="K380">
        <v>-2</v>
      </c>
      <c r="L380" s="2" t="str">
        <f>IF(LEN(Table1[[#This Row],[phone]]) = 10, Table1[[#This Row],[phone]],"Not Available")</f>
        <v>Not Available</v>
      </c>
    </row>
    <row r="381" spans="1:12" x14ac:dyDescent="0.25">
      <c r="A381" t="s">
        <v>1145</v>
      </c>
      <c r="B381" t="s">
        <v>1146</v>
      </c>
      <c r="C381">
        <v>25</v>
      </c>
      <c r="D381">
        <v>268238</v>
      </c>
      <c r="E381" s="1">
        <v>42741</v>
      </c>
      <c r="F381" t="s">
        <v>1147</v>
      </c>
      <c r="G381">
        <v>2580926519</v>
      </c>
      <c r="H381" t="s">
        <v>65</v>
      </c>
      <c r="I381" t="s">
        <v>15</v>
      </c>
      <c r="J381" t="s">
        <v>21</v>
      </c>
      <c r="K381">
        <v>2.7</v>
      </c>
      <c r="L381" s="2">
        <f>IF(LEN(Table1[[#This Row],[phone]]) = 10, Table1[[#This Row],[phone]],"Not Available")</f>
        <v>2580926519</v>
      </c>
    </row>
    <row r="382" spans="1:12" x14ac:dyDescent="0.25">
      <c r="A382" t="s">
        <v>1148</v>
      </c>
      <c r="B382" t="s">
        <v>1149</v>
      </c>
      <c r="C382">
        <v>48</v>
      </c>
      <c r="D382">
        <v>166036</v>
      </c>
      <c r="E382" s="1">
        <v>43301</v>
      </c>
      <c r="F382" t="s">
        <v>1150</v>
      </c>
      <c r="G382">
        <v>5552950915</v>
      </c>
      <c r="H382" t="s">
        <v>70</v>
      </c>
      <c r="I382" t="s">
        <v>15</v>
      </c>
      <c r="J382" t="s">
        <v>16</v>
      </c>
      <c r="K382">
        <v>1.5</v>
      </c>
      <c r="L382" s="2">
        <f>IF(LEN(Table1[[#This Row],[phone]]) = 10, Table1[[#This Row],[phone]],"Not Available")</f>
        <v>5552950915</v>
      </c>
    </row>
    <row r="383" spans="1:12" x14ac:dyDescent="0.25">
      <c r="A383" t="s">
        <v>1151</v>
      </c>
      <c r="B383" t="s">
        <v>1152</v>
      </c>
      <c r="C383">
        <v>48</v>
      </c>
      <c r="D383">
        <v>5000</v>
      </c>
      <c r="E383" s="1">
        <v>43858</v>
      </c>
      <c r="F383" t="s">
        <v>1153</v>
      </c>
      <c r="G383">
        <v>7609702366</v>
      </c>
      <c r="H383" t="s">
        <v>65</v>
      </c>
      <c r="I383" t="s">
        <v>37</v>
      </c>
      <c r="J383" t="s">
        <v>16</v>
      </c>
      <c r="K383">
        <v>-2</v>
      </c>
      <c r="L383" s="2">
        <f>IF(LEN(Table1[[#This Row],[phone]]) = 10, Table1[[#This Row],[phone]],"Not Available")</f>
        <v>7609702366</v>
      </c>
    </row>
    <row r="384" spans="1:12" x14ac:dyDescent="0.25">
      <c r="A384" t="s">
        <v>1154</v>
      </c>
      <c r="B384" t="s">
        <v>1155</v>
      </c>
      <c r="C384">
        <v>25</v>
      </c>
      <c r="D384">
        <v>61259</v>
      </c>
      <c r="E384" s="1">
        <v>45340</v>
      </c>
      <c r="F384" t="s">
        <v>1156</v>
      </c>
      <c r="G384">
        <v>8710183361</v>
      </c>
      <c r="H384" t="s">
        <v>65</v>
      </c>
      <c r="I384" t="s">
        <v>66</v>
      </c>
      <c r="J384" t="s">
        <v>21</v>
      </c>
      <c r="K384">
        <v>3.7</v>
      </c>
      <c r="L384" s="2">
        <f>IF(LEN(Table1[[#This Row],[phone]]) = 10, Table1[[#This Row],[phone]],"Not Available")</f>
        <v>8710183361</v>
      </c>
    </row>
    <row r="385" spans="1:12" x14ac:dyDescent="0.25">
      <c r="A385" t="s">
        <v>1157</v>
      </c>
      <c r="B385" t="s">
        <v>1158</v>
      </c>
      <c r="C385">
        <v>48</v>
      </c>
      <c r="D385">
        <v>263476</v>
      </c>
      <c r="E385" s="1">
        <v>44887</v>
      </c>
      <c r="F385" t="s">
        <v>1159</v>
      </c>
      <c r="G385">
        <v>2271369210</v>
      </c>
      <c r="H385" t="s">
        <v>14</v>
      </c>
      <c r="I385" t="s">
        <v>29</v>
      </c>
      <c r="J385" t="s">
        <v>16</v>
      </c>
      <c r="K385">
        <v>-2</v>
      </c>
      <c r="L385" s="2">
        <f>IF(LEN(Table1[[#This Row],[phone]]) = 10, Table1[[#This Row],[phone]],"Not Available")</f>
        <v>2271369210</v>
      </c>
    </row>
    <row r="386" spans="1:12" x14ac:dyDescent="0.25">
      <c r="A386" t="s">
        <v>1160</v>
      </c>
      <c r="B386" t="s">
        <v>1161</v>
      </c>
      <c r="C386">
        <v>48</v>
      </c>
      <c r="D386">
        <v>102360</v>
      </c>
      <c r="E386" s="1">
        <v>43583</v>
      </c>
      <c r="F386" t="s">
        <v>1162</v>
      </c>
      <c r="G386">
        <v>1182158771</v>
      </c>
      <c r="H386" t="s">
        <v>65</v>
      </c>
      <c r="I386" t="s">
        <v>66</v>
      </c>
      <c r="J386" t="s">
        <v>16</v>
      </c>
      <c r="K386">
        <v>2.6</v>
      </c>
      <c r="L386" s="2">
        <f>IF(LEN(Table1[[#This Row],[phone]]) = 10, Table1[[#This Row],[phone]],"Not Available")</f>
        <v>1182158771</v>
      </c>
    </row>
    <row r="387" spans="1:12" x14ac:dyDescent="0.25">
      <c r="A387" t="s">
        <v>1163</v>
      </c>
      <c r="B387" t="s">
        <v>1164</v>
      </c>
      <c r="C387">
        <v>48</v>
      </c>
      <c r="D387">
        <v>144975</v>
      </c>
      <c r="E387" s="1">
        <v>43402</v>
      </c>
      <c r="F387" t="s">
        <v>1165</v>
      </c>
      <c r="G387">
        <v>4173916210</v>
      </c>
      <c r="H387" t="s">
        <v>65</v>
      </c>
      <c r="I387" t="s">
        <v>37</v>
      </c>
      <c r="J387" t="s">
        <v>16</v>
      </c>
      <c r="K387">
        <v>-2</v>
      </c>
      <c r="L387" s="2">
        <f>IF(LEN(Table1[[#This Row],[phone]]) = 10, Table1[[#This Row],[phone]],"Not Available")</f>
        <v>4173916210</v>
      </c>
    </row>
    <row r="388" spans="1:12" x14ac:dyDescent="0.25">
      <c r="A388" t="s">
        <v>1166</v>
      </c>
      <c r="B388" t="s">
        <v>1167</v>
      </c>
      <c r="C388">
        <v>25</v>
      </c>
      <c r="D388">
        <v>143886</v>
      </c>
      <c r="E388" s="1">
        <v>43475</v>
      </c>
      <c r="F388" t="s">
        <v>1168</v>
      </c>
      <c r="G388">
        <v>9160958238</v>
      </c>
      <c r="H388" t="s">
        <v>65</v>
      </c>
      <c r="I388" t="s">
        <v>15</v>
      </c>
      <c r="J388" t="s">
        <v>16</v>
      </c>
      <c r="K388">
        <v>-2</v>
      </c>
      <c r="L388" s="2">
        <f>IF(LEN(Table1[[#This Row],[phone]]) = 10, Table1[[#This Row],[phone]],"Not Available")</f>
        <v>9160958238</v>
      </c>
    </row>
    <row r="389" spans="1:12" x14ac:dyDescent="0.25">
      <c r="A389" t="s">
        <v>1169</v>
      </c>
      <c r="B389" t="s">
        <v>1170</v>
      </c>
      <c r="C389">
        <v>48</v>
      </c>
      <c r="D389">
        <v>143886</v>
      </c>
      <c r="E389" s="1">
        <v>44907</v>
      </c>
      <c r="F389" t="s">
        <v>69</v>
      </c>
      <c r="G389">
        <v>8966663283</v>
      </c>
      <c r="H389" t="s">
        <v>20</v>
      </c>
      <c r="I389" t="s">
        <v>15</v>
      </c>
      <c r="J389" t="s">
        <v>21</v>
      </c>
      <c r="K389">
        <v>1</v>
      </c>
      <c r="L389" s="2">
        <f>IF(LEN(Table1[[#This Row],[phone]]) = 10, Table1[[#This Row],[phone]],"Not Available")</f>
        <v>8966663283</v>
      </c>
    </row>
    <row r="390" spans="1:12" x14ac:dyDescent="0.25">
      <c r="A390" t="s">
        <v>1171</v>
      </c>
      <c r="B390" t="s">
        <v>1172</v>
      </c>
      <c r="C390">
        <v>52</v>
      </c>
      <c r="D390">
        <v>462400</v>
      </c>
      <c r="E390" s="1">
        <v>43888</v>
      </c>
      <c r="F390" t="s">
        <v>1173</v>
      </c>
      <c r="G390">
        <v>742330415</v>
      </c>
      <c r="H390" t="s">
        <v>65</v>
      </c>
      <c r="I390" t="s">
        <v>15</v>
      </c>
      <c r="J390" t="s">
        <v>16</v>
      </c>
      <c r="K390">
        <v>4.9000000000000004</v>
      </c>
      <c r="L390" s="2" t="str">
        <f>IF(LEN(Table1[[#This Row],[phone]]) = 10, Table1[[#This Row],[phone]],"Not Available")</f>
        <v>Not Available</v>
      </c>
    </row>
    <row r="391" spans="1:12" x14ac:dyDescent="0.25">
      <c r="A391" t="s">
        <v>1174</v>
      </c>
      <c r="B391" t="s">
        <v>1175</v>
      </c>
      <c r="C391">
        <v>82</v>
      </c>
      <c r="D391">
        <v>143886</v>
      </c>
      <c r="E391" s="1">
        <v>42682</v>
      </c>
      <c r="F391" t="s">
        <v>1176</v>
      </c>
      <c r="G391">
        <v>93897</v>
      </c>
      <c r="H391" t="s">
        <v>65</v>
      </c>
      <c r="I391" t="s">
        <v>15</v>
      </c>
      <c r="J391" t="s">
        <v>16</v>
      </c>
      <c r="K391">
        <v>3.4</v>
      </c>
      <c r="L391" s="2" t="str">
        <f>IF(LEN(Table1[[#This Row],[phone]]) = 10, Table1[[#This Row],[phone]],"Not Available")</f>
        <v>Not Available</v>
      </c>
    </row>
    <row r="392" spans="1:12" x14ac:dyDescent="0.25">
      <c r="A392" t="s">
        <v>1177</v>
      </c>
      <c r="B392" t="s">
        <v>1178</v>
      </c>
      <c r="C392">
        <v>48</v>
      </c>
      <c r="D392">
        <v>5000</v>
      </c>
      <c r="E392" s="1">
        <v>43759</v>
      </c>
      <c r="F392" t="s">
        <v>1179</v>
      </c>
      <c r="G392">
        <v>6118726500</v>
      </c>
      <c r="H392" t="s">
        <v>65</v>
      </c>
      <c r="I392" t="s">
        <v>66</v>
      </c>
      <c r="J392" t="s">
        <v>16</v>
      </c>
      <c r="K392">
        <v>7</v>
      </c>
      <c r="L392" s="2">
        <f>IF(LEN(Table1[[#This Row],[phone]]) = 10, Table1[[#This Row],[phone]],"Not Available")</f>
        <v>6118726500</v>
      </c>
    </row>
    <row r="393" spans="1:12" x14ac:dyDescent="0.25">
      <c r="A393" t="s">
        <v>1180</v>
      </c>
      <c r="B393" t="s">
        <v>1181</v>
      </c>
      <c r="C393">
        <v>48</v>
      </c>
      <c r="D393">
        <v>20254</v>
      </c>
      <c r="E393" s="1">
        <v>43345</v>
      </c>
      <c r="F393" t="s">
        <v>1182</v>
      </c>
      <c r="G393">
        <v>7030907984</v>
      </c>
      <c r="H393" t="s">
        <v>65</v>
      </c>
      <c r="I393" t="s">
        <v>29</v>
      </c>
      <c r="J393" t="s">
        <v>16</v>
      </c>
      <c r="K393">
        <v>3.1</v>
      </c>
      <c r="L393" s="2">
        <f>IF(LEN(Table1[[#This Row],[phone]]) = 10, Table1[[#This Row],[phone]],"Not Available")</f>
        <v>7030907984</v>
      </c>
    </row>
    <row r="394" spans="1:12" x14ac:dyDescent="0.25">
      <c r="A394" t="s">
        <v>1183</v>
      </c>
      <c r="B394" t="s">
        <v>1184</v>
      </c>
      <c r="C394">
        <v>48</v>
      </c>
      <c r="D394">
        <v>5000</v>
      </c>
      <c r="E394" s="1">
        <v>45017</v>
      </c>
      <c r="F394" t="s">
        <v>1185</v>
      </c>
      <c r="G394">
        <v>877865418</v>
      </c>
      <c r="H394" t="s">
        <v>14</v>
      </c>
      <c r="I394" t="s">
        <v>25</v>
      </c>
      <c r="J394" t="s">
        <v>21</v>
      </c>
      <c r="K394">
        <v>2.2999999999999998</v>
      </c>
      <c r="L394" s="2" t="str">
        <f>IF(LEN(Table1[[#This Row],[phone]]) = 10, Table1[[#This Row],[phone]],"Not Available")</f>
        <v>Not Available</v>
      </c>
    </row>
    <row r="395" spans="1:12" x14ac:dyDescent="0.25">
      <c r="A395" t="s">
        <v>1186</v>
      </c>
      <c r="B395" t="s">
        <v>1187</v>
      </c>
      <c r="C395">
        <v>90</v>
      </c>
      <c r="D395">
        <v>236503</v>
      </c>
      <c r="E395" s="1">
        <v>45549</v>
      </c>
      <c r="F395" t="s">
        <v>1188</v>
      </c>
      <c r="G395">
        <v>6869507402</v>
      </c>
      <c r="H395" t="s">
        <v>33</v>
      </c>
      <c r="I395" t="s">
        <v>15</v>
      </c>
      <c r="J395" t="s">
        <v>16</v>
      </c>
      <c r="K395">
        <v>3.5</v>
      </c>
      <c r="L395" s="2">
        <f>IF(LEN(Table1[[#This Row],[phone]]) = 10, Table1[[#This Row],[phone]],"Not Available")</f>
        <v>6869507402</v>
      </c>
    </row>
    <row r="396" spans="1:12" x14ac:dyDescent="0.25">
      <c r="A396" t="s">
        <v>1189</v>
      </c>
      <c r="B396" t="s">
        <v>1190</v>
      </c>
      <c r="C396">
        <v>42</v>
      </c>
      <c r="D396">
        <v>171700</v>
      </c>
      <c r="E396" s="1">
        <v>42956</v>
      </c>
      <c r="F396" t="s">
        <v>1191</v>
      </c>
      <c r="G396">
        <v>2877230869</v>
      </c>
      <c r="H396" t="s">
        <v>20</v>
      </c>
      <c r="I396" t="s">
        <v>15</v>
      </c>
      <c r="J396" t="s">
        <v>16</v>
      </c>
      <c r="K396">
        <v>-2</v>
      </c>
      <c r="L396" s="2">
        <f>IF(LEN(Table1[[#This Row],[phone]]) = 10, Table1[[#This Row],[phone]],"Not Available")</f>
        <v>2877230869</v>
      </c>
    </row>
    <row r="397" spans="1:12" x14ac:dyDescent="0.25">
      <c r="A397" t="s">
        <v>1192</v>
      </c>
      <c r="B397" t="s">
        <v>1193</v>
      </c>
      <c r="C397">
        <v>60</v>
      </c>
      <c r="D397">
        <v>312473</v>
      </c>
      <c r="E397" s="1">
        <v>46051</v>
      </c>
      <c r="F397" t="s">
        <v>1194</v>
      </c>
      <c r="G397">
        <v>3578317717</v>
      </c>
      <c r="H397" t="s">
        <v>65</v>
      </c>
      <c r="I397" t="s">
        <v>15</v>
      </c>
      <c r="J397" t="s">
        <v>16</v>
      </c>
      <c r="K397">
        <v>3.4</v>
      </c>
      <c r="L397" s="2">
        <f>IF(LEN(Table1[[#This Row],[phone]]) = 10, Table1[[#This Row],[phone]],"Not Available")</f>
        <v>3578317717</v>
      </c>
    </row>
    <row r="398" spans="1:12" x14ac:dyDescent="0.25">
      <c r="A398" t="s">
        <v>1195</v>
      </c>
      <c r="B398" t="s">
        <v>1196</v>
      </c>
      <c r="C398">
        <v>25</v>
      </c>
      <c r="D398">
        <v>5000</v>
      </c>
      <c r="E398" s="1">
        <v>42829</v>
      </c>
      <c r="F398" t="s">
        <v>1197</v>
      </c>
      <c r="G398">
        <v>2701826566</v>
      </c>
      <c r="H398" t="s">
        <v>20</v>
      </c>
      <c r="I398" t="s">
        <v>15</v>
      </c>
      <c r="J398" t="s">
        <v>16</v>
      </c>
      <c r="K398">
        <v>7</v>
      </c>
      <c r="L398" s="2">
        <f>IF(LEN(Table1[[#This Row],[phone]]) = 10, Table1[[#This Row],[phone]],"Not Available")</f>
        <v>2701826566</v>
      </c>
    </row>
    <row r="399" spans="1:12" x14ac:dyDescent="0.25">
      <c r="A399" t="s">
        <v>1198</v>
      </c>
      <c r="B399" t="s">
        <v>1199</v>
      </c>
      <c r="C399">
        <v>70</v>
      </c>
      <c r="D399">
        <v>143886</v>
      </c>
      <c r="E399" s="1">
        <v>44346</v>
      </c>
      <c r="F399" t="s">
        <v>1200</v>
      </c>
      <c r="G399">
        <v>3448066749</v>
      </c>
      <c r="H399" t="s">
        <v>20</v>
      </c>
      <c r="I399" t="s">
        <v>66</v>
      </c>
      <c r="J399" t="s">
        <v>21</v>
      </c>
      <c r="K399">
        <v>2.7</v>
      </c>
      <c r="L399" s="2">
        <f>IF(LEN(Table1[[#This Row],[phone]]) = 10, Table1[[#This Row],[phone]],"Not Available")</f>
        <v>3448066749</v>
      </c>
    </row>
    <row r="400" spans="1:12" x14ac:dyDescent="0.25">
      <c r="A400" t="s">
        <v>1201</v>
      </c>
      <c r="B400" t="s">
        <v>1202</v>
      </c>
      <c r="C400">
        <v>80</v>
      </c>
      <c r="D400">
        <v>143886</v>
      </c>
      <c r="E400" s="1">
        <v>45290</v>
      </c>
      <c r="F400" t="s">
        <v>1203</v>
      </c>
      <c r="G400">
        <v>1059003433</v>
      </c>
      <c r="H400" t="s">
        <v>20</v>
      </c>
      <c r="I400" t="s">
        <v>29</v>
      </c>
      <c r="J400" t="s">
        <v>21</v>
      </c>
      <c r="K400">
        <v>2.7</v>
      </c>
      <c r="L400" s="2">
        <f>IF(LEN(Table1[[#This Row],[phone]]) = 10, Table1[[#This Row],[phone]],"Not Available")</f>
        <v>1059003433</v>
      </c>
    </row>
    <row r="401" spans="1:12" x14ac:dyDescent="0.25">
      <c r="A401" t="s">
        <v>1204</v>
      </c>
      <c r="B401" t="s">
        <v>1205</v>
      </c>
      <c r="C401">
        <v>48</v>
      </c>
      <c r="D401">
        <v>46691</v>
      </c>
      <c r="E401" s="1">
        <v>44672</v>
      </c>
      <c r="F401" t="s">
        <v>1206</v>
      </c>
      <c r="G401">
        <v>6073500225</v>
      </c>
      <c r="H401" t="s">
        <v>14</v>
      </c>
      <c r="I401" t="s">
        <v>15</v>
      </c>
      <c r="J401" t="s">
        <v>16</v>
      </c>
      <c r="K401">
        <v>7</v>
      </c>
      <c r="L401" s="2">
        <f>IF(LEN(Table1[[#This Row],[phone]]) = 10, Table1[[#This Row],[phone]],"Not Available")</f>
        <v>6073500225</v>
      </c>
    </row>
    <row r="402" spans="1:12" x14ac:dyDescent="0.25">
      <c r="A402" t="s">
        <v>1207</v>
      </c>
      <c r="B402" t="s">
        <v>1208</v>
      </c>
      <c r="C402">
        <v>48</v>
      </c>
      <c r="D402">
        <v>143886</v>
      </c>
      <c r="E402" s="1">
        <v>43661</v>
      </c>
      <c r="F402" t="s">
        <v>1209</v>
      </c>
      <c r="G402">
        <v>149091750</v>
      </c>
      <c r="H402" t="s">
        <v>65</v>
      </c>
      <c r="I402" t="s">
        <v>29</v>
      </c>
      <c r="J402" t="s">
        <v>16</v>
      </c>
      <c r="K402">
        <v>4.0999999999999996</v>
      </c>
      <c r="L402" s="2" t="str">
        <f>IF(LEN(Table1[[#This Row],[phone]]) = 10, Table1[[#This Row],[phone]],"Not Available")</f>
        <v>Not Available</v>
      </c>
    </row>
    <row r="403" spans="1:12" x14ac:dyDescent="0.25">
      <c r="A403" t="s">
        <v>1210</v>
      </c>
      <c r="B403" t="s">
        <v>1211</v>
      </c>
      <c r="C403">
        <v>25</v>
      </c>
      <c r="D403">
        <v>499193</v>
      </c>
      <c r="E403" s="1">
        <v>44658</v>
      </c>
      <c r="F403" t="s">
        <v>1212</v>
      </c>
      <c r="G403">
        <v>3435130440</v>
      </c>
      <c r="H403" t="s">
        <v>14</v>
      </c>
      <c r="I403" t="s">
        <v>15</v>
      </c>
      <c r="J403" t="s">
        <v>21</v>
      </c>
      <c r="K403">
        <v>7</v>
      </c>
      <c r="L403" s="2">
        <f>IF(LEN(Table1[[#This Row],[phone]]) = 10, Table1[[#This Row],[phone]],"Not Available")</f>
        <v>3435130440</v>
      </c>
    </row>
    <row r="404" spans="1:12" x14ac:dyDescent="0.25">
      <c r="A404" t="s">
        <v>1213</v>
      </c>
      <c r="B404" t="s">
        <v>1214</v>
      </c>
      <c r="C404">
        <v>25</v>
      </c>
      <c r="D404">
        <v>143886</v>
      </c>
      <c r="E404" s="1">
        <v>44674</v>
      </c>
      <c r="F404" t="s">
        <v>1215</v>
      </c>
      <c r="G404">
        <v>7920916026</v>
      </c>
      <c r="H404" t="s">
        <v>65</v>
      </c>
      <c r="I404" t="s">
        <v>25</v>
      </c>
      <c r="J404" t="s">
        <v>16</v>
      </c>
      <c r="K404">
        <v>-2</v>
      </c>
      <c r="L404" s="2">
        <f>IF(LEN(Table1[[#This Row],[phone]]) = 10, Table1[[#This Row],[phone]],"Not Available")</f>
        <v>7920916026</v>
      </c>
    </row>
    <row r="405" spans="1:12" x14ac:dyDescent="0.25">
      <c r="A405" t="s">
        <v>1216</v>
      </c>
      <c r="B405" t="s">
        <v>1217</v>
      </c>
      <c r="C405">
        <v>25</v>
      </c>
      <c r="D405">
        <v>143886</v>
      </c>
      <c r="E405" s="1">
        <v>45928</v>
      </c>
      <c r="F405" t="s">
        <v>1218</v>
      </c>
      <c r="G405">
        <v>2882212651</v>
      </c>
      <c r="H405" t="s">
        <v>70</v>
      </c>
      <c r="I405" t="s">
        <v>15</v>
      </c>
      <c r="J405" t="s">
        <v>21</v>
      </c>
      <c r="K405">
        <v>3.6</v>
      </c>
      <c r="L405" s="2">
        <f>IF(LEN(Table1[[#This Row],[phone]]) = 10, Table1[[#This Row],[phone]],"Not Available")</f>
        <v>2882212651</v>
      </c>
    </row>
    <row r="406" spans="1:12" x14ac:dyDescent="0.25">
      <c r="A406" t="s">
        <v>1219</v>
      </c>
      <c r="B406" t="s">
        <v>1220</v>
      </c>
      <c r="C406">
        <v>48</v>
      </c>
      <c r="D406">
        <v>143886</v>
      </c>
      <c r="E406" s="1">
        <v>45412</v>
      </c>
      <c r="F406" t="s">
        <v>1221</v>
      </c>
      <c r="G406">
        <v>3476389828</v>
      </c>
      <c r="H406" t="s">
        <v>14</v>
      </c>
      <c r="I406" t="s">
        <v>15</v>
      </c>
      <c r="J406" t="s">
        <v>16</v>
      </c>
      <c r="K406">
        <v>7</v>
      </c>
      <c r="L406" s="2">
        <f>IF(LEN(Table1[[#This Row],[phone]]) = 10, Table1[[#This Row],[phone]],"Not Available")</f>
        <v>3476389828</v>
      </c>
    </row>
    <row r="407" spans="1:12" x14ac:dyDescent="0.25">
      <c r="A407" t="s">
        <v>1222</v>
      </c>
      <c r="B407" t="s">
        <v>1223</v>
      </c>
      <c r="C407">
        <v>35</v>
      </c>
      <c r="D407">
        <v>43343</v>
      </c>
      <c r="E407" s="1">
        <v>46070</v>
      </c>
      <c r="F407" t="s">
        <v>1224</v>
      </c>
      <c r="G407">
        <v>500139198</v>
      </c>
      <c r="H407" t="s">
        <v>70</v>
      </c>
      <c r="I407" t="s">
        <v>25</v>
      </c>
      <c r="J407" t="s">
        <v>16</v>
      </c>
      <c r="K407">
        <v>7</v>
      </c>
      <c r="L407" s="2" t="str">
        <f>IF(LEN(Table1[[#This Row],[phone]]) = 10, Table1[[#This Row],[phone]],"Not Available")</f>
        <v>Not Available</v>
      </c>
    </row>
    <row r="408" spans="1:12" x14ac:dyDescent="0.25">
      <c r="A408" t="s">
        <v>1225</v>
      </c>
      <c r="B408" t="s">
        <v>1226</v>
      </c>
      <c r="C408">
        <v>25</v>
      </c>
      <c r="D408">
        <v>5000</v>
      </c>
      <c r="E408" s="1">
        <v>44747</v>
      </c>
      <c r="F408" t="s">
        <v>1227</v>
      </c>
      <c r="G408">
        <v>514072502</v>
      </c>
      <c r="H408" t="s">
        <v>20</v>
      </c>
      <c r="I408" t="s">
        <v>29</v>
      </c>
      <c r="J408" t="s">
        <v>16</v>
      </c>
      <c r="K408">
        <v>4</v>
      </c>
      <c r="L408" s="2" t="str">
        <f>IF(LEN(Table1[[#This Row],[phone]]) = 10, Table1[[#This Row],[phone]],"Not Available")</f>
        <v>Not Available</v>
      </c>
    </row>
    <row r="409" spans="1:12" x14ac:dyDescent="0.25">
      <c r="A409" t="s">
        <v>1228</v>
      </c>
      <c r="B409" t="s">
        <v>1229</v>
      </c>
      <c r="C409">
        <v>48</v>
      </c>
      <c r="D409">
        <v>425091</v>
      </c>
      <c r="E409" s="1">
        <v>43936</v>
      </c>
      <c r="F409" t="s">
        <v>1230</v>
      </c>
      <c r="G409">
        <v>9835793412</v>
      </c>
      <c r="H409" t="s">
        <v>20</v>
      </c>
      <c r="I409" t="s">
        <v>25</v>
      </c>
      <c r="J409" t="s">
        <v>21</v>
      </c>
      <c r="K409">
        <v>2.8</v>
      </c>
      <c r="L409" s="2">
        <f>IF(LEN(Table1[[#This Row],[phone]]) = 10, Table1[[#This Row],[phone]],"Not Available")</f>
        <v>9835793412</v>
      </c>
    </row>
    <row r="410" spans="1:12" x14ac:dyDescent="0.25">
      <c r="A410" t="s">
        <v>1231</v>
      </c>
      <c r="B410" t="s">
        <v>1232</v>
      </c>
      <c r="C410">
        <v>86</v>
      </c>
      <c r="D410">
        <v>296701</v>
      </c>
      <c r="E410" s="1">
        <v>44311</v>
      </c>
      <c r="F410" t="s">
        <v>1233</v>
      </c>
      <c r="G410">
        <v>9706593606</v>
      </c>
      <c r="H410" t="s">
        <v>20</v>
      </c>
      <c r="I410" t="s">
        <v>25</v>
      </c>
      <c r="J410" t="s">
        <v>21</v>
      </c>
      <c r="K410">
        <v>7</v>
      </c>
      <c r="L410" s="2">
        <f>IF(LEN(Table1[[#This Row],[phone]]) = 10, Table1[[#This Row],[phone]],"Not Available")</f>
        <v>9706593606</v>
      </c>
    </row>
    <row r="411" spans="1:12" x14ac:dyDescent="0.25">
      <c r="A411" t="s">
        <v>1234</v>
      </c>
      <c r="B411" t="s">
        <v>1235</v>
      </c>
      <c r="C411">
        <v>48</v>
      </c>
      <c r="D411">
        <v>285251</v>
      </c>
      <c r="E411" s="1">
        <v>43152</v>
      </c>
      <c r="F411" t="s">
        <v>1236</v>
      </c>
      <c r="G411">
        <v>22117</v>
      </c>
      <c r="H411" t="s">
        <v>33</v>
      </c>
      <c r="I411" t="s">
        <v>15</v>
      </c>
      <c r="J411" t="s">
        <v>16</v>
      </c>
      <c r="K411">
        <v>-2</v>
      </c>
      <c r="L411" s="2" t="str">
        <f>IF(LEN(Table1[[#This Row],[phone]]) = 10, Table1[[#This Row],[phone]],"Not Available")</f>
        <v>Not Available</v>
      </c>
    </row>
    <row r="412" spans="1:12" x14ac:dyDescent="0.25">
      <c r="A412" t="s">
        <v>1237</v>
      </c>
      <c r="B412" t="s">
        <v>1238</v>
      </c>
      <c r="C412">
        <v>60</v>
      </c>
      <c r="D412">
        <v>79106</v>
      </c>
      <c r="E412" s="1">
        <v>43717</v>
      </c>
      <c r="F412" t="s">
        <v>1239</v>
      </c>
      <c r="G412">
        <v>4728954913</v>
      </c>
      <c r="H412" t="s">
        <v>20</v>
      </c>
      <c r="I412" t="s">
        <v>29</v>
      </c>
      <c r="J412" t="s">
        <v>16</v>
      </c>
      <c r="K412">
        <v>2.7</v>
      </c>
      <c r="L412" s="2">
        <f>IF(LEN(Table1[[#This Row],[phone]]) = 10, Table1[[#This Row],[phone]],"Not Available")</f>
        <v>4728954913</v>
      </c>
    </row>
    <row r="413" spans="1:12" x14ac:dyDescent="0.25">
      <c r="A413" t="s">
        <v>1240</v>
      </c>
      <c r="B413" t="s">
        <v>1241</v>
      </c>
      <c r="C413">
        <v>25</v>
      </c>
      <c r="D413">
        <v>5000</v>
      </c>
      <c r="E413" s="1">
        <v>42998</v>
      </c>
      <c r="F413" t="s">
        <v>1242</v>
      </c>
      <c r="G413">
        <v>4595758113</v>
      </c>
      <c r="H413" t="s">
        <v>20</v>
      </c>
      <c r="I413" t="s">
        <v>15</v>
      </c>
      <c r="J413" t="s">
        <v>21</v>
      </c>
      <c r="K413">
        <v>-2</v>
      </c>
      <c r="L413" s="2">
        <f>IF(LEN(Table1[[#This Row],[phone]]) = 10, Table1[[#This Row],[phone]],"Not Available")</f>
        <v>4595758113</v>
      </c>
    </row>
    <row r="414" spans="1:12" x14ac:dyDescent="0.25">
      <c r="A414" t="s">
        <v>1243</v>
      </c>
      <c r="B414" t="s">
        <v>1244</v>
      </c>
      <c r="C414">
        <v>72</v>
      </c>
      <c r="D414">
        <v>143886</v>
      </c>
      <c r="E414" s="1">
        <v>43521</v>
      </c>
      <c r="F414" t="s">
        <v>1245</v>
      </c>
      <c r="G414">
        <v>142947171</v>
      </c>
      <c r="H414" t="s">
        <v>65</v>
      </c>
      <c r="I414" t="s">
        <v>15</v>
      </c>
      <c r="J414" t="s">
        <v>16</v>
      </c>
      <c r="K414">
        <v>1.4</v>
      </c>
      <c r="L414" s="2" t="str">
        <f>IF(LEN(Table1[[#This Row],[phone]]) = 10, Table1[[#This Row],[phone]],"Not Available")</f>
        <v>Not Available</v>
      </c>
    </row>
    <row r="415" spans="1:12" x14ac:dyDescent="0.25">
      <c r="A415" t="s">
        <v>1246</v>
      </c>
      <c r="B415" t="s">
        <v>1247</v>
      </c>
      <c r="C415">
        <v>60</v>
      </c>
      <c r="D415">
        <v>143886</v>
      </c>
      <c r="E415" s="1">
        <v>45145</v>
      </c>
      <c r="F415" t="s">
        <v>1248</v>
      </c>
      <c r="G415">
        <v>9854602109</v>
      </c>
      <c r="H415" t="s">
        <v>33</v>
      </c>
      <c r="I415" t="s">
        <v>15</v>
      </c>
      <c r="J415" t="s">
        <v>16</v>
      </c>
      <c r="K415">
        <v>2.7</v>
      </c>
      <c r="L415" s="2">
        <f>IF(LEN(Table1[[#This Row],[phone]]) = 10, Table1[[#This Row],[phone]],"Not Available")</f>
        <v>9854602109</v>
      </c>
    </row>
    <row r="416" spans="1:12" x14ac:dyDescent="0.25">
      <c r="A416" t="s">
        <v>1249</v>
      </c>
      <c r="B416" t="s">
        <v>1250</v>
      </c>
      <c r="C416">
        <v>73</v>
      </c>
      <c r="D416">
        <v>449520</v>
      </c>
      <c r="E416" s="1">
        <v>43674</v>
      </c>
      <c r="F416" t="s">
        <v>1251</v>
      </c>
      <c r="G416">
        <v>1628472818</v>
      </c>
      <c r="H416" t="s">
        <v>65</v>
      </c>
      <c r="I416" t="s">
        <v>29</v>
      </c>
      <c r="J416" t="s">
        <v>21</v>
      </c>
      <c r="K416">
        <v>2.7</v>
      </c>
      <c r="L416" s="2">
        <f>IF(LEN(Table1[[#This Row],[phone]]) = 10, Table1[[#This Row],[phone]],"Not Available")</f>
        <v>1628472818</v>
      </c>
    </row>
    <row r="417" spans="1:12" x14ac:dyDescent="0.25">
      <c r="A417" t="s">
        <v>1252</v>
      </c>
      <c r="B417" t="s">
        <v>1253</v>
      </c>
      <c r="C417">
        <v>28</v>
      </c>
      <c r="D417">
        <v>98908</v>
      </c>
      <c r="E417" s="1">
        <v>43659</v>
      </c>
      <c r="F417" t="s">
        <v>1254</v>
      </c>
      <c r="G417">
        <v>8509651984</v>
      </c>
      <c r="H417" t="s">
        <v>65</v>
      </c>
      <c r="I417" t="s">
        <v>29</v>
      </c>
      <c r="J417" t="s">
        <v>16</v>
      </c>
      <c r="K417">
        <v>1.7</v>
      </c>
      <c r="L417" s="2">
        <f>IF(LEN(Table1[[#This Row],[phone]]) = 10, Table1[[#This Row],[phone]],"Not Available")</f>
        <v>8509651984</v>
      </c>
    </row>
    <row r="418" spans="1:12" x14ac:dyDescent="0.25">
      <c r="A418" t="s">
        <v>1255</v>
      </c>
      <c r="B418" t="s">
        <v>1256</v>
      </c>
      <c r="C418">
        <v>51</v>
      </c>
      <c r="D418">
        <v>70780</v>
      </c>
      <c r="E418" s="1">
        <v>45093</v>
      </c>
      <c r="F418" t="s">
        <v>1257</v>
      </c>
      <c r="G418">
        <v>5044716379</v>
      </c>
      <c r="H418" t="s">
        <v>14</v>
      </c>
      <c r="I418" t="s">
        <v>25</v>
      </c>
      <c r="J418" t="s">
        <v>16</v>
      </c>
      <c r="K418">
        <v>1.1000000000000001</v>
      </c>
      <c r="L418" s="2">
        <f>IF(LEN(Table1[[#This Row],[phone]]) = 10, Table1[[#This Row],[phone]],"Not Available")</f>
        <v>5044716379</v>
      </c>
    </row>
    <row r="419" spans="1:12" x14ac:dyDescent="0.25">
      <c r="A419" t="s">
        <v>1258</v>
      </c>
      <c r="B419" t="s">
        <v>1259</v>
      </c>
      <c r="C419">
        <v>48</v>
      </c>
      <c r="D419">
        <v>5000</v>
      </c>
      <c r="E419" s="1">
        <v>42559</v>
      </c>
      <c r="F419" t="s">
        <v>1260</v>
      </c>
      <c r="G419">
        <v>4773047847</v>
      </c>
      <c r="H419" t="s">
        <v>20</v>
      </c>
      <c r="I419" t="s">
        <v>29</v>
      </c>
      <c r="J419" t="s">
        <v>16</v>
      </c>
      <c r="K419">
        <v>1.9</v>
      </c>
      <c r="L419" s="2">
        <f>IF(LEN(Table1[[#This Row],[phone]]) = 10, Table1[[#This Row],[phone]],"Not Available")</f>
        <v>4773047847</v>
      </c>
    </row>
    <row r="420" spans="1:12" x14ac:dyDescent="0.25">
      <c r="A420" t="s">
        <v>1261</v>
      </c>
      <c r="B420" t="s">
        <v>1262</v>
      </c>
      <c r="C420">
        <v>48</v>
      </c>
      <c r="D420">
        <v>5000</v>
      </c>
      <c r="E420" s="1">
        <v>45887</v>
      </c>
      <c r="F420" t="s">
        <v>1263</v>
      </c>
      <c r="G420">
        <v>1533281671</v>
      </c>
      <c r="H420" t="s">
        <v>33</v>
      </c>
      <c r="I420" t="s">
        <v>15</v>
      </c>
      <c r="J420" t="s">
        <v>16</v>
      </c>
      <c r="K420">
        <v>2.7</v>
      </c>
      <c r="L420" s="2">
        <f>IF(LEN(Table1[[#This Row],[phone]]) = 10, Table1[[#This Row],[phone]],"Not Available")</f>
        <v>1533281671</v>
      </c>
    </row>
    <row r="421" spans="1:12" x14ac:dyDescent="0.25">
      <c r="A421" t="s">
        <v>1264</v>
      </c>
      <c r="B421" t="s">
        <v>1265</v>
      </c>
      <c r="C421">
        <v>48</v>
      </c>
      <c r="D421">
        <v>143886</v>
      </c>
      <c r="E421" s="1">
        <v>44209</v>
      </c>
      <c r="F421" t="s">
        <v>69</v>
      </c>
      <c r="G421">
        <v>5223977469</v>
      </c>
      <c r="H421" t="s">
        <v>65</v>
      </c>
      <c r="I421" t="s">
        <v>29</v>
      </c>
      <c r="J421" t="s">
        <v>16</v>
      </c>
      <c r="K421">
        <v>2.7</v>
      </c>
      <c r="L421" s="2">
        <f>IF(LEN(Table1[[#This Row],[phone]]) = 10, Table1[[#This Row],[phone]],"Not Available")</f>
        <v>5223977469</v>
      </c>
    </row>
    <row r="422" spans="1:12" x14ac:dyDescent="0.25">
      <c r="A422" t="s">
        <v>1266</v>
      </c>
      <c r="B422" t="s">
        <v>1267</v>
      </c>
      <c r="C422">
        <v>48</v>
      </c>
      <c r="D422">
        <v>5000</v>
      </c>
      <c r="E422" s="1">
        <v>44950</v>
      </c>
      <c r="F422" t="s">
        <v>1268</v>
      </c>
      <c r="G422">
        <v>3573053675</v>
      </c>
      <c r="H422" t="s">
        <v>20</v>
      </c>
      <c r="I422" t="s">
        <v>25</v>
      </c>
      <c r="J422" t="s">
        <v>16</v>
      </c>
      <c r="K422">
        <v>-2</v>
      </c>
      <c r="L422" s="2">
        <f>IF(LEN(Table1[[#This Row],[phone]]) = 10, Table1[[#This Row],[phone]],"Not Available")</f>
        <v>3573053675</v>
      </c>
    </row>
    <row r="423" spans="1:12" x14ac:dyDescent="0.25">
      <c r="A423" t="s">
        <v>1269</v>
      </c>
      <c r="B423" t="s">
        <v>1270</v>
      </c>
      <c r="C423">
        <v>48</v>
      </c>
      <c r="D423">
        <v>104246</v>
      </c>
      <c r="E423" s="1">
        <v>44307</v>
      </c>
      <c r="F423" t="s">
        <v>1271</v>
      </c>
      <c r="G423">
        <v>90408</v>
      </c>
      <c r="H423" t="s">
        <v>14</v>
      </c>
      <c r="I423" t="s">
        <v>15</v>
      </c>
      <c r="J423" t="s">
        <v>16</v>
      </c>
      <c r="K423">
        <v>2.7</v>
      </c>
      <c r="L423" s="2" t="str">
        <f>IF(LEN(Table1[[#This Row],[phone]]) = 10, Table1[[#This Row],[phone]],"Not Available")</f>
        <v>Not Available</v>
      </c>
    </row>
    <row r="424" spans="1:12" x14ac:dyDescent="0.25">
      <c r="A424" t="s">
        <v>1272</v>
      </c>
      <c r="B424" t="s">
        <v>1273</v>
      </c>
      <c r="C424">
        <v>48</v>
      </c>
      <c r="D424">
        <v>143886</v>
      </c>
      <c r="E424" s="1">
        <v>43827</v>
      </c>
      <c r="F424" t="s">
        <v>1274</v>
      </c>
      <c r="G424">
        <v>1209416243</v>
      </c>
      <c r="H424" t="s">
        <v>14</v>
      </c>
      <c r="I424" t="s">
        <v>25</v>
      </c>
      <c r="J424" t="s">
        <v>16</v>
      </c>
      <c r="K424">
        <v>-2</v>
      </c>
      <c r="L424" s="2">
        <f>IF(LEN(Table1[[#This Row],[phone]]) = 10, Table1[[#This Row],[phone]],"Not Available")</f>
        <v>1209416243</v>
      </c>
    </row>
    <row r="425" spans="1:12" x14ac:dyDescent="0.25">
      <c r="A425" t="s">
        <v>1275</v>
      </c>
      <c r="B425" t="s">
        <v>1276</v>
      </c>
      <c r="C425">
        <v>25</v>
      </c>
      <c r="D425">
        <v>143886</v>
      </c>
      <c r="E425" s="1">
        <v>43055</v>
      </c>
      <c r="F425" t="s">
        <v>1277</v>
      </c>
      <c r="G425">
        <v>3606039121</v>
      </c>
      <c r="H425" t="s">
        <v>65</v>
      </c>
      <c r="I425" t="s">
        <v>29</v>
      </c>
      <c r="J425" t="s">
        <v>21</v>
      </c>
      <c r="K425">
        <v>-2</v>
      </c>
      <c r="L425" s="2">
        <f>IF(LEN(Table1[[#This Row],[phone]]) = 10, Table1[[#This Row],[phone]],"Not Available")</f>
        <v>3606039121</v>
      </c>
    </row>
    <row r="426" spans="1:12" x14ac:dyDescent="0.25">
      <c r="A426" t="s">
        <v>1278</v>
      </c>
      <c r="B426" t="s">
        <v>1279</v>
      </c>
      <c r="C426">
        <v>85</v>
      </c>
      <c r="D426">
        <v>143886</v>
      </c>
      <c r="E426" s="1">
        <v>45303</v>
      </c>
      <c r="F426" t="s">
        <v>1280</v>
      </c>
      <c r="G426">
        <v>3227460604</v>
      </c>
      <c r="H426" t="s">
        <v>33</v>
      </c>
      <c r="I426" t="s">
        <v>66</v>
      </c>
      <c r="J426" t="s">
        <v>21</v>
      </c>
      <c r="K426">
        <v>2.7</v>
      </c>
      <c r="L426" s="2">
        <f>IF(LEN(Table1[[#This Row],[phone]]) = 10, Table1[[#This Row],[phone]],"Not Available")</f>
        <v>3227460604</v>
      </c>
    </row>
    <row r="427" spans="1:12" x14ac:dyDescent="0.25">
      <c r="A427" t="s">
        <v>1281</v>
      </c>
      <c r="B427" t="s">
        <v>1282</v>
      </c>
      <c r="C427">
        <v>48</v>
      </c>
      <c r="D427">
        <v>143886</v>
      </c>
      <c r="E427" s="1">
        <v>43667</v>
      </c>
      <c r="F427" t="s">
        <v>1283</v>
      </c>
      <c r="G427">
        <v>4607912552</v>
      </c>
      <c r="H427" t="s">
        <v>33</v>
      </c>
      <c r="I427" t="s">
        <v>29</v>
      </c>
      <c r="J427" t="s">
        <v>16</v>
      </c>
      <c r="K427">
        <v>-2</v>
      </c>
      <c r="L427" s="2">
        <f>IF(LEN(Table1[[#This Row],[phone]]) = 10, Table1[[#This Row],[phone]],"Not Available")</f>
        <v>4607912552</v>
      </c>
    </row>
    <row r="428" spans="1:12" x14ac:dyDescent="0.25">
      <c r="A428" t="s">
        <v>1284</v>
      </c>
      <c r="B428" t="s">
        <v>1285</v>
      </c>
      <c r="C428">
        <v>83</v>
      </c>
      <c r="D428">
        <v>377817</v>
      </c>
      <c r="E428" s="1">
        <v>45118</v>
      </c>
      <c r="F428" t="s">
        <v>1286</v>
      </c>
      <c r="G428">
        <v>4165947577</v>
      </c>
      <c r="H428" t="s">
        <v>20</v>
      </c>
      <c r="I428" t="s">
        <v>15</v>
      </c>
      <c r="J428" t="s">
        <v>16</v>
      </c>
      <c r="K428">
        <v>7</v>
      </c>
      <c r="L428" s="2">
        <f>IF(LEN(Table1[[#This Row],[phone]]) = 10, Table1[[#This Row],[phone]],"Not Available")</f>
        <v>4165947577</v>
      </c>
    </row>
    <row r="429" spans="1:12" x14ac:dyDescent="0.25">
      <c r="A429" t="s">
        <v>1287</v>
      </c>
      <c r="B429" t="s">
        <v>1288</v>
      </c>
      <c r="C429">
        <v>48</v>
      </c>
      <c r="D429">
        <v>419840</v>
      </c>
      <c r="E429" s="1">
        <v>44823</v>
      </c>
      <c r="F429" t="s">
        <v>1289</v>
      </c>
      <c r="G429">
        <v>5957324058</v>
      </c>
      <c r="H429" t="s">
        <v>20</v>
      </c>
      <c r="I429" t="s">
        <v>25</v>
      </c>
      <c r="J429" t="s">
        <v>21</v>
      </c>
      <c r="K429">
        <v>7</v>
      </c>
      <c r="L429" s="2">
        <f>IF(LEN(Table1[[#This Row],[phone]]) = 10, Table1[[#This Row],[phone]],"Not Available")</f>
        <v>5957324058</v>
      </c>
    </row>
    <row r="430" spans="1:12" x14ac:dyDescent="0.25">
      <c r="A430" t="s">
        <v>1290</v>
      </c>
      <c r="B430" t="s">
        <v>1291</v>
      </c>
      <c r="C430">
        <v>25</v>
      </c>
      <c r="D430">
        <v>143886</v>
      </c>
      <c r="E430" s="1">
        <v>42731</v>
      </c>
      <c r="F430" t="s">
        <v>1292</v>
      </c>
      <c r="G430">
        <v>99371</v>
      </c>
      <c r="H430" t="s">
        <v>65</v>
      </c>
      <c r="I430" t="s">
        <v>15</v>
      </c>
      <c r="J430" t="s">
        <v>21</v>
      </c>
      <c r="K430">
        <v>1</v>
      </c>
      <c r="L430" s="2" t="str">
        <f>IF(LEN(Table1[[#This Row],[phone]]) = 10, Table1[[#This Row],[phone]],"Not Available")</f>
        <v>Not Available</v>
      </c>
    </row>
    <row r="431" spans="1:12" x14ac:dyDescent="0.25">
      <c r="A431" t="s">
        <v>1293</v>
      </c>
      <c r="B431" t="s">
        <v>1294</v>
      </c>
      <c r="C431">
        <v>66</v>
      </c>
      <c r="D431">
        <v>197016</v>
      </c>
      <c r="E431" s="1">
        <v>43448</v>
      </c>
      <c r="F431" t="s">
        <v>1295</v>
      </c>
      <c r="G431">
        <v>8671097802</v>
      </c>
      <c r="H431" t="s">
        <v>20</v>
      </c>
      <c r="I431" t="s">
        <v>15</v>
      </c>
      <c r="J431" t="s">
        <v>21</v>
      </c>
      <c r="K431">
        <v>2.7</v>
      </c>
      <c r="L431" s="2">
        <f>IF(LEN(Table1[[#This Row],[phone]]) = 10, Table1[[#This Row],[phone]],"Not Available")</f>
        <v>8671097802</v>
      </c>
    </row>
    <row r="432" spans="1:12" x14ac:dyDescent="0.25">
      <c r="A432" t="s">
        <v>1296</v>
      </c>
      <c r="B432" t="s">
        <v>1297</v>
      </c>
      <c r="C432">
        <v>48</v>
      </c>
      <c r="D432">
        <v>30375</v>
      </c>
      <c r="E432" s="1">
        <v>42936</v>
      </c>
      <c r="F432" t="s">
        <v>1298</v>
      </c>
      <c r="G432">
        <v>5072364547</v>
      </c>
      <c r="H432" t="s">
        <v>33</v>
      </c>
      <c r="I432" t="s">
        <v>37</v>
      </c>
      <c r="J432" t="s">
        <v>16</v>
      </c>
      <c r="K432">
        <v>2.1</v>
      </c>
      <c r="L432" s="2">
        <f>IF(LEN(Table1[[#This Row],[phone]]) = 10, Table1[[#This Row],[phone]],"Not Available")</f>
        <v>5072364547</v>
      </c>
    </row>
    <row r="433" spans="1:12" x14ac:dyDescent="0.25">
      <c r="A433" t="s">
        <v>1299</v>
      </c>
      <c r="B433" t="s">
        <v>1300</v>
      </c>
      <c r="C433">
        <v>25</v>
      </c>
      <c r="D433">
        <v>143886</v>
      </c>
      <c r="E433" s="1">
        <v>45525</v>
      </c>
      <c r="F433" t="s">
        <v>1301</v>
      </c>
      <c r="G433">
        <v>6488037312</v>
      </c>
      <c r="H433" t="s">
        <v>20</v>
      </c>
      <c r="I433" t="s">
        <v>66</v>
      </c>
      <c r="J433" t="s">
        <v>21</v>
      </c>
      <c r="K433">
        <v>-2</v>
      </c>
      <c r="L433" s="2">
        <f>IF(LEN(Table1[[#This Row],[phone]]) = 10, Table1[[#This Row],[phone]],"Not Available")</f>
        <v>6488037312</v>
      </c>
    </row>
    <row r="434" spans="1:12" x14ac:dyDescent="0.25">
      <c r="A434" t="s">
        <v>1302</v>
      </c>
      <c r="B434" t="s">
        <v>1303</v>
      </c>
      <c r="C434">
        <v>48</v>
      </c>
      <c r="D434">
        <v>143886</v>
      </c>
      <c r="E434" s="1">
        <v>43932</v>
      </c>
      <c r="F434" t="s">
        <v>1304</v>
      </c>
      <c r="G434">
        <v>1117125332</v>
      </c>
      <c r="H434" t="s">
        <v>14</v>
      </c>
      <c r="I434" t="s">
        <v>66</v>
      </c>
      <c r="J434" t="s">
        <v>21</v>
      </c>
      <c r="K434">
        <v>-2</v>
      </c>
      <c r="L434" s="2">
        <f>IF(LEN(Table1[[#This Row],[phone]]) = 10, Table1[[#This Row],[phone]],"Not Available")</f>
        <v>1117125332</v>
      </c>
    </row>
    <row r="435" spans="1:12" x14ac:dyDescent="0.25">
      <c r="A435" t="s">
        <v>1305</v>
      </c>
      <c r="B435" t="s">
        <v>1306</v>
      </c>
      <c r="C435">
        <v>61</v>
      </c>
      <c r="D435">
        <v>143886</v>
      </c>
      <c r="E435" s="1">
        <v>44792</v>
      </c>
      <c r="F435" t="s">
        <v>1307</v>
      </c>
      <c r="G435">
        <v>7906262675</v>
      </c>
      <c r="H435" t="s">
        <v>20</v>
      </c>
      <c r="I435" t="s">
        <v>29</v>
      </c>
      <c r="J435" t="s">
        <v>21</v>
      </c>
      <c r="K435">
        <v>4.9000000000000004</v>
      </c>
      <c r="L435" s="2">
        <f>IF(LEN(Table1[[#This Row],[phone]]) = 10, Table1[[#This Row],[phone]],"Not Available")</f>
        <v>7906262675</v>
      </c>
    </row>
    <row r="436" spans="1:12" x14ac:dyDescent="0.25">
      <c r="A436" t="s">
        <v>1308</v>
      </c>
      <c r="B436" t="s">
        <v>1309</v>
      </c>
      <c r="C436">
        <v>25</v>
      </c>
      <c r="D436">
        <v>24126</v>
      </c>
      <c r="E436" s="1">
        <v>43848</v>
      </c>
      <c r="F436" t="s">
        <v>1310</v>
      </c>
      <c r="G436">
        <v>7941303425</v>
      </c>
      <c r="H436" t="s">
        <v>65</v>
      </c>
      <c r="I436" t="s">
        <v>37</v>
      </c>
      <c r="J436" t="s">
        <v>21</v>
      </c>
      <c r="K436">
        <v>2.7</v>
      </c>
      <c r="L436" s="2">
        <f>IF(LEN(Table1[[#This Row],[phone]]) = 10, Table1[[#This Row],[phone]],"Not Available")</f>
        <v>7941303425</v>
      </c>
    </row>
    <row r="437" spans="1:12" x14ac:dyDescent="0.25">
      <c r="A437" t="s">
        <v>1311</v>
      </c>
      <c r="B437" t="s">
        <v>1312</v>
      </c>
      <c r="C437">
        <v>66</v>
      </c>
      <c r="D437">
        <v>143886</v>
      </c>
      <c r="E437" s="1">
        <v>42549</v>
      </c>
      <c r="F437" t="s">
        <v>1313</v>
      </c>
      <c r="G437">
        <v>9741706844</v>
      </c>
      <c r="H437" t="s">
        <v>65</v>
      </c>
      <c r="I437" t="s">
        <v>37</v>
      </c>
      <c r="J437" t="s">
        <v>16</v>
      </c>
      <c r="K437">
        <v>2.7</v>
      </c>
      <c r="L437" s="2">
        <f>IF(LEN(Table1[[#This Row],[phone]]) = 10, Table1[[#This Row],[phone]],"Not Available")</f>
        <v>9741706844</v>
      </c>
    </row>
    <row r="438" spans="1:12" x14ac:dyDescent="0.25">
      <c r="A438" t="s">
        <v>1314</v>
      </c>
      <c r="B438" t="s">
        <v>1315</v>
      </c>
      <c r="C438">
        <v>25</v>
      </c>
      <c r="D438">
        <v>143886</v>
      </c>
      <c r="E438" s="1">
        <v>45890</v>
      </c>
      <c r="F438" t="s">
        <v>1316</v>
      </c>
      <c r="G438">
        <v>4594927026</v>
      </c>
      <c r="H438" t="s">
        <v>14</v>
      </c>
      <c r="I438" t="s">
        <v>15</v>
      </c>
      <c r="J438" t="s">
        <v>16</v>
      </c>
      <c r="K438">
        <v>2.7</v>
      </c>
      <c r="L438" s="2">
        <f>IF(LEN(Table1[[#This Row],[phone]]) = 10, Table1[[#This Row],[phone]],"Not Available")</f>
        <v>4594927026</v>
      </c>
    </row>
    <row r="439" spans="1:12" x14ac:dyDescent="0.25">
      <c r="A439" t="s">
        <v>1317</v>
      </c>
      <c r="B439" t="s">
        <v>1318</v>
      </c>
      <c r="C439">
        <v>48</v>
      </c>
      <c r="D439">
        <v>143886</v>
      </c>
      <c r="E439" s="1">
        <v>45644</v>
      </c>
      <c r="F439" t="s">
        <v>1319</v>
      </c>
      <c r="G439">
        <v>2811377656</v>
      </c>
      <c r="H439" t="s">
        <v>14</v>
      </c>
      <c r="I439" t="s">
        <v>37</v>
      </c>
      <c r="J439" t="s">
        <v>21</v>
      </c>
      <c r="K439">
        <v>-2</v>
      </c>
      <c r="L439" s="2">
        <f>IF(LEN(Table1[[#This Row],[phone]]) = 10, Table1[[#This Row],[phone]],"Not Available")</f>
        <v>2811377656</v>
      </c>
    </row>
    <row r="440" spans="1:12" x14ac:dyDescent="0.25">
      <c r="A440" t="s">
        <v>1320</v>
      </c>
      <c r="B440" t="s">
        <v>1321</v>
      </c>
      <c r="C440">
        <v>25</v>
      </c>
      <c r="D440">
        <v>56841</v>
      </c>
      <c r="E440" s="1">
        <v>45650</v>
      </c>
      <c r="F440" t="s">
        <v>1322</v>
      </c>
      <c r="G440">
        <v>3562195123</v>
      </c>
      <c r="H440" t="s">
        <v>65</v>
      </c>
      <c r="I440" t="s">
        <v>15</v>
      </c>
      <c r="J440" t="s">
        <v>21</v>
      </c>
      <c r="K440">
        <v>-2</v>
      </c>
      <c r="L440" s="2">
        <f>IF(LEN(Table1[[#This Row],[phone]]) = 10, Table1[[#This Row],[phone]],"Not Available")</f>
        <v>3562195123</v>
      </c>
    </row>
    <row r="441" spans="1:12" x14ac:dyDescent="0.25">
      <c r="A441" t="s">
        <v>1323</v>
      </c>
      <c r="B441" t="s">
        <v>1324</v>
      </c>
      <c r="C441">
        <v>32</v>
      </c>
      <c r="D441">
        <v>421613</v>
      </c>
      <c r="E441" s="1">
        <v>46205</v>
      </c>
      <c r="F441" t="s">
        <v>1325</v>
      </c>
      <c r="G441">
        <v>4206302703</v>
      </c>
      <c r="H441" t="s">
        <v>20</v>
      </c>
      <c r="I441" t="s">
        <v>15</v>
      </c>
      <c r="J441" t="s">
        <v>21</v>
      </c>
      <c r="K441">
        <v>-2</v>
      </c>
      <c r="L441" s="2">
        <f>IF(LEN(Table1[[#This Row],[phone]]) = 10, Table1[[#This Row],[phone]],"Not Available")</f>
        <v>4206302703</v>
      </c>
    </row>
    <row r="442" spans="1:12" x14ac:dyDescent="0.25">
      <c r="A442" t="s">
        <v>1326</v>
      </c>
      <c r="B442" t="s">
        <v>1327</v>
      </c>
      <c r="C442">
        <v>48</v>
      </c>
      <c r="D442">
        <v>111144</v>
      </c>
      <c r="E442" s="1">
        <v>45517</v>
      </c>
      <c r="F442" t="s">
        <v>1328</v>
      </c>
      <c r="G442">
        <v>6075047342</v>
      </c>
      <c r="H442" t="s">
        <v>70</v>
      </c>
      <c r="I442" t="s">
        <v>29</v>
      </c>
      <c r="J442" t="s">
        <v>16</v>
      </c>
      <c r="K442">
        <v>2.7</v>
      </c>
      <c r="L442" s="2">
        <f>IF(LEN(Table1[[#This Row],[phone]]) = 10, Table1[[#This Row],[phone]],"Not Available")</f>
        <v>6075047342</v>
      </c>
    </row>
    <row r="443" spans="1:12" x14ac:dyDescent="0.25">
      <c r="A443" t="s">
        <v>1329</v>
      </c>
      <c r="B443" t="s">
        <v>1330</v>
      </c>
      <c r="C443">
        <v>30</v>
      </c>
      <c r="D443">
        <v>67089</v>
      </c>
      <c r="E443" s="1">
        <v>43226</v>
      </c>
      <c r="F443" t="s">
        <v>1331</v>
      </c>
      <c r="G443">
        <v>8112480250</v>
      </c>
      <c r="H443" t="s">
        <v>65</v>
      </c>
      <c r="I443" t="s">
        <v>37</v>
      </c>
      <c r="J443" t="s">
        <v>16</v>
      </c>
      <c r="K443">
        <v>-2</v>
      </c>
      <c r="L443" s="2">
        <f>IF(LEN(Table1[[#This Row],[phone]]) = 10, Table1[[#This Row],[phone]],"Not Available")</f>
        <v>8112480250</v>
      </c>
    </row>
    <row r="444" spans="1:12" x14ac:dyDescent="0.25">
      <c r="A444" t="s">
        <v>1332</v>
      </c>
      <c r="B444" t="s">
        <v>1333</v>
      </c>
      <c r="C444">
        <v>48</v>
      </c>
      <c r="D444">
        <v>191580</v>
      </c>
      <c r="E444" s="1">
        <v>43969</v>
      </c>
      <c r="F444" t="s">
        <v>1334</v>
      </c>
      <c r="G444">
        <v>4732616383</v>
      </c>
      <c r="H444" t="s">
        <v>33</v>
      </c>
      <c r="I444" t="s">
        <v>15</v>
      </c>
      <c r="J444" t="s">
        <v>21</v>
      </c>
      <c r="K444">
        <v>-2</v>
      </c>
      <c r="L444" s="2">
        <f>IF(LEN(Table1[[#This Row],[phone]]) = 10, Table1[[#This Row],[phone]],"Not Available")</f>
        <v>4732616383</v>
      </c>
    </row>
    <row r="445" spans="1:12" x14ac:dyDescent="0.25">
      <c r="A445" t="s">
        <v>1335</v>
      </c>
      <c r="B445" t="s">
        <v>1336</v>
      </c>
      <c r="C445">
        <v>25</v>
      </c>
      <c r="D445">
        <v>5000</v>
      </c>
      <c r="E445" s="1">
        <v>43804</v>
      </c>
      <c r="F445" t="s">
        <v>1337</v>
      </c>
      <c r="G445">
        <v>4581472309</v>
      </c>
      <c r="H445" t="s">
        <v>20</v>
      </c>
      <c r="I445" t="s">
        <v>66</v>
      </c>
      <c r="J445" t="s">
        <v>16</v>
      </c>
      <c r="K445">
        <v>7</v>
      </c>
      <c r="L445" s="2">
        <f>IF(LEN(Table1[[#This Row],[phone]]) = 10, Table1[[#This Row],[phone]],"Not Available")</f>
        <v>4581472309</v>
      </c>
    </row>
    <row r="446" spans="1:12" x14ac:dyDescent="0.25">
      <c r="A446" t="s">
        <v>1338</v>
      </c>
      <c r="B446" t="s">
        <v>1339</v>
      </c>
      <c r="C446">
        <v>25</v>
      </c>
      <c r="D446">
        <v>5000</v>
      </c>
      <c r="E446" s="1">
        <v>43854</v>
      </c>
      <c r="F446" t="s">
        <v>1340</v>
      </c>
      <c r="G446">
        <v>4458844584</v>
      </c>
      <c r="H446" t="s">
        <v>33</v>
      </c>
      <c r="I446" t="s">
        <v>15</v>
      </c>
      <c r="J446" t="s">
        <v>21</v>
      </c>
      <c r="K446">
        <v>4.9000000000000004</v>
      </c>
      <c r="L446" s="2">
        <f>IF(LEN(Table1[[#This Row],[phone]]) = 10, Table1[[#This Row],[phone]],"Not Available")</f>
        <v>4458844584</v>
      </c>
    </row>
    <row r="447" spans="1:12" x14ac:dyDescent="0.25">
      <c r="A447" t="s">
        <v>1341</v>
      </c>
      <c r="B447" t="s">
        <v>1342</v>
      </c>
      <c r="C447">
        <v>38</v>
      </c>
      <c r="D447">
        <v>143886</v>
      </c>
      <c r="E447" s="1">
        <v>43488</v>
      </c>
      <c r="F447" t="s">
        <v>1343</v>
      </c>
      <c r="G447">
        <v>1581186840</v>
      </c>
      <c r="H447" t="s">
        <v>70</v>
      </c>
      <c r="I447" t="s">
        <v>66</v>
      </c>
      <c r="J447" t="s">
        <v>16</v>
      </c>
      <c r="K447">
        <v>1.7</v>
      </c>
      <c r="L447" s="2">
        <f>IF(LEN(Table1[[#This Row],[phone]]) = 10, Table1[[#This Row],[phone]],"Not Available")</f>
        <v>1581186840</v>
      </c>
    </row>
    <row r="448" spans="1:12" x14ac:dyDescent="0.25">
      <c r="A448" t="s">
        <v>1344</v>
      </c>
      <c r="B448" t="s">
        <v>1345</v>
      </c>
      <c r="C448">
        <v>48</v>
      </c>
      <c r="D448">
        <v>5000</v>
      </c>
      <c r="E448" s="1">
        <v>43050</v>
      </c>
      <c r="F448" t="s">
        <v>1346</v>
      </c>
      <c r="G448">
        <v>186459888</v>
      </c>
      <c r="H448" t="s">
        <v>20</v>
      </c>
      <c r="I448" t="s">
        <v>25</v>
      </c>
      <c r="J448" t="s">
        <v>16</v>
      </c>
      <c r="K448">
        <v>7</v>
      </c>
      <c r="L448" s="2" t="str">
        <f>IF(LEN(Table1[[#This Row],[phone]]) = 10, Table1[[#This Row],[phone]],"Not Available")</f>
        <v>Not Available</v>
      </c>
    </row>
    <row r="449" spans="1:12" x14ac:dyDescent="0.25">
      <c r="A449" t="s">
        <v>1347</v>
      </c>
      <c r="B449" t="s">
        <v>1348</v>
      </c>
      <c r="C449">
        <v>48</v>
      </c>
      <c r="D449">
        <v>5000</v>
      </c>
      <c r="E449" s="1">
        <v>44938</v>
      </c>
      <c r="F449" t="s">
        <v>1349</v>
      </c>
      <c r="G449">
        <v>22466</v>
      </c>
      <c r="H449" t="s">
        <v>70</v>
      </c>
      <c r="I449" t="s">
        <v>15</v>
      </c>
      <c r="J449" t="s">
        <v>21</v>
      </c>
      <c r="K449">
        <v>2.7</v>
      </c>
      <c r="L449" s="2" t="str">
        <f>IF(LEN(Table1[[#This Row],[phone]]) = 10, Table1[[#This Row],[phone]],"Not Available")</f>
        <v>Not Available</v>
      </c>
    </row>
    <row r="450" spans="1:12" x14ac:dyDescent="0.25">
      <c r="A450" t="s">
        <v>1350</v>
      </c>
      <c r="B450" t="s">
        <v>1351</v>
      </c>
      <c r="C450">
        <v>67</v>
      </c>
      <c r="D450">
        <v>5000</v>
      </c>
      <c r="E450" s="1">
        <v>43624</v>
      </c>
      <c r="F450" t="s">
        <v>1352</v>
      </c>
      <c r="G450">
        <v>9085087293</v>
      </c>
      <c r="H450" t="s">
        <v>20</v>
      </c>
      <c r="I450" t="s">
        <v>15</v>
      </c>
      <c r="J450" t="s">
        <v>21</v>
      </c>
      <c r="K450">
        <v>1.3</v>
      </c>
      <c r="L450" s="2">
        <f>IF(LEN(Table1[[#This Row],[phone]]) = 10, Table1[[#This Row],[phone]],"Not Available")</f>
        <v>9085087293</v>
      </c>
    </row>
    <row r="451" spans="1:12" x14ac:dyDescent="0.25">
      <c r="A451" t="s">
        <v>1353</v>
      </c>
      <c r="B451" t="s">
        <v>1354</v>
      </c>
      <c r="C451">
        <v>90</v>
      </c>
      <c r="D451">
        <v>143886</v>
      </c>
      <c r="E451" s="1">
        <v>42729</v>
      </c>
      <c r="F451" t="s">
        <v>1355</v>
      </c>
      <c r="G451">
        <v>3230709315</v>
      </c>
      <c r="H451" t="s">
        <v>33</v>
      </c>
      <c r="I451" t="s">
        <v>25</v>
      </c>
      <c r="J451" t="s">
        <v>16</v>
      </c>
      <c r="K451">
        <v>7</v>
      </c>
      <c r="L451" s="2">
        <f>IF(LEN(Table1[[#This Row],[phone]]) = 10, Table1[[#This Row],[phone]],"Not Available")</f>
        <v>3230709315</v>
      </c>
    </row>
    <row r="452" spans="1:12" x14ac:dyDescent="0.25">
      <c r="A452" t="s">
        <v>1356</v>
      </c>
      <c r="B452" t="s">
        <v>1357</v>
      </c>
      <c r="C452">
        <v>78</v>
      </c>
      <c r="D452">
        <v>143886</v>
      </c>
      <c r="E452" s="1">
        <v>43520</v>
      </c>
      <c r="F452" t="s">
        <v>1358</v>
      </c>
      <c r="G452">
        <v>2595620273</v>
      </c>
      <c r="H452" t="s">
        <v>20</v>
      </c>
      <c r="I452" t="s">
        <v>29</v>
      </c>
      <c r="J452" t="s">
        <v>16</v>
      </c>
      <c r="K452">
        <v>1.5</v>
      </c>
      <c r="L452" s="2">
        <f>IF(LEN(Table1[[#This Row],[phone]]) = 10, Table1[[#This Row],[phone]],"Not Available")</f>
        <v>2595620273</v>
      </c>
    </row>
    <row r="453" spans="1:12" x14ac:dyDescent="0.25">
      <c r="A453" t="s">
        <v>1359</v>
      </c>
      <c r="B453" t="s">
        <v>1360</v>
      </c>
      <c r="C453">
        <v>62</v>
      </c>
      <c r="D453">
        <v>5000</v>
      </c>
      <c r="E453" s="1">
        <v>43864</v>
      </c>
      <c r="F453" t="s">
        <v>1361</v>
      </c>
      <c r="G453">
        <v>3880793523</v>
      </c>
      <c r="H453" t="s">
        <v>70</v>
      </c>
      <c r="I453" t="s">
        <v>66</v>
      </c>
      <c r="J453" t="s">
        <v>21</v>
      </c>
      <c r="K453">
        <v>2.7</v>
      </c>
      <c r="L453" s="2">
        <f>IF(LEN(Table1[[#This Row],[phone]]) = 10, Table1[[#This Row],[phone]],"Not Available")</f>
        <v>3880793523</v>
      </c>
    </row>
    <row r="454" spans="1:12" x14ac:dyDescent="0.25">
      <c r="A454" t="s">
        <v>1362</v>
      </c>
      <c r="B454" t="s">
        <v>1363</v>
      </c>
      <c r="C454">
        <v>23</v>
      </c>
      <c r="D454">
        <v>29970</v>
      </c>
      <c r="E454" s="1">
        <v>43100</v>
      </c>
      <c r="F454" t="s">
        <v>1364</v>
      </c>
      <c r="G454">
        <v>2324744512</v>
      </c>
      <c r="H454" t="s">
        <v>20</v>
      </c>
      <c r="I454" t="s">
        <v>29</v>
      </c>
      <c r="J454" t="s">
        <v>16</v>
      </c>
      <c r="K454">
        <v>2.7</v>
      </c>
      <c r="L454" s="2">
        <f>IF(LEN(Table1[[#This Row],[phone]]) = 10, Table1[[#This Row],[phone]],"Not Available")</f>
        <v>2324744512</v>
      </c>
    </row>
    <row r="455" spans="1:12" x14ac:dyDescent="0.25">
      <c r="A455" t="s">
        <v>1365</v>
      </c>
      <c r="B455" t="s">
        <v>1366</v>
      </c>
      <c r="C455">
        <v>25</v>
      </c>
      <c r="D455">
        <v>44723</v>
      </c>
      <c r="E455" s="1">
        <v>43468</v>
      </c>
      <c r="F455" t="s">
        <v>1367</v>
      </c>
      <c r="G455">
        <v>9948919014</v>
      </c>
      <c r="H455" t="s">
        <v>20</v>
      </c>
      <c r="I455" t="s">
        <v>15</v>
      </c>
      <c r="J455" t="s">
        <v>21</v>
      </c>
      <c r="K455">
        <v>2.7</v>
      </c>
      <c r="L455" s="2">
        <f>IF(LEN(Table1[[#This Row],[phone]]) = 10, Table1[[#This Row],[phone]],"Not Available")</f>
        <v>9948919014</v>
      </c>
    </row>
    <row r="456" spans="1:12" x14ac:dyDescent="0.25">
      <c r="A456" t="s">
        <v>1368</v>
      </c>
      <c r="B456" t="s">
        <v>1369</v>
      </c>
      <c r="C456">
        <v>48</v>
      </c>
      <c r="D456">
        <v>143886</v>
      </c>
      <c r="E456" s="1">
        <v>42987</v>
      </c>
      <c r="F456" t="s">
        <v>1370</v>
      </c>
      <c r="G456">
        <v>917713671</v>
      </c>
      <c r="H456" t="s">
        <v>70</v>
      </c>
      <c r="I456" t="s">
        <v>29</v>
      </c>
      <c r="J456" t="s">
        <v>16</v>
      </c>
      <c r="K456">
        <v>2.1</v>
      </c>
      <c r="L456" s="2" t="str">
        <f>IF(LEN(Table1[[#This Row],[phone]]) = 10, Table1[[#This Row],[phone]],"Not Available")</f>
        <v>Not Available</v>
      </c>
    </row>
    <row r="457" spans="1:12" x14ac:dyDescent="0.25">
      <c r="A457" t="s">
        <v>1371</v>
      </c>
      <c r="B457" t="s">
        <v>1372</v>
      </c>
      <c r="C457">
        <v>59</v>
      </c>
      <c r="D457">
        <v>462372</v>
      </c>
      <c r="E457" s="1">
        <v>44708</v>
      </c>
      <c r="F457" t="s">
        <v>1373</v>
      </c>
      <c r="G457">
        <v>1549510305</v>
      </c>
      <c r="H457" t="s">
        <v>33</v>
      </c>
      <c r="I457" t="s">
        <v>37</v>
      </c>
      <c r="J457" t="s">
        <v>16</v>
      </c>
      <c r="K457">
        <v>2.7</v>
      </c>
      <c r="L457" s="2">
        <f>IF(LEN(Table1[[#This Row],[phone]]) = 10, Table1[[#This Row],[phone]],"Not Available")</f>
        <v>1549510305</v>
      </c>
    </row>
    <row r="458" spans="1:12" x14ac:dyDescent="0.25">
      <c r="A458" t="s">
        <v>1374</v>
      </c>
      <c r="B458" t="s">
        <v>1375</v>
      </c>
      <c r="C458">
        <v>48</v>
      </c>
      <c r="D458">
        <v>73393</v>
      </c>
      <c r="E458" s="1">
        <v>43914</v>
      </c>
      <c r="F458" t="s">
        <v>1376</v>
      </c>
      <c r="G458">
        <v>9840977047</v>
      </c>
      <c r="H458" t="s">
        <v>20</v>
      </c>
      <c r="I458" t="s">
        <v>25</v>
      </c>
      <c r="J458" t="s">
        <v>16</v>
      </c>
      <c r="K458">
        <v>4.2</v>
      </c>
      <c r="L458" s="2">
        <f>IF(LEN(Table1[[#This Row],[phone]]) = 10, Table1[[#This Row],[phone]],"Not Available")</f>
        <v>9840977047</v>
      </c>
    </row>
    <row r="459" spans="1:12" x14ac:dyDescent="0.25">
      <c r="A459" t="s">
        <v>1377</v>
      </c>
      <c r="B459" t="s">
        <v>1378</v>
      </c>
      <c r="C459">
        <v>61</v>
      </c>
      <c r="D459">
        <v>134864</v>
      </c>
      <c r="E459" s="1">
        <v>44504</v>
      </c>
      <c r="F459" t="s">
        <v>1379</v>
      </c>
      <c r="G459">
        <v>6869853095</v>
      </c>
      <c r="H459" t="s">
        <v>65</v>
      </c>
      <c r="I459" t="s">
        <v>15</v>
      </c>
      <c r="J459" t="s">
        <v>21</v>
      </c>
      <c r="K459">
        <v>7</v>
      </c>
      <c r="L459" s="2">
        <f>IF(LEN(Table1[[#This Row],[phone]]) = 10, Table1[[#This Row],[phone]],"Not Available")</f>
        <v>6869853095</v>
      </c>
    </row>
    <row r="460" spans="1:12" x14ac:dyDescent="0.25">
      <c r="A460" t="s">
        <v>1380</v>
      </c>
      <c r="B460" t="s">
        <v>1381</v>
      </c>
      <c r="C460">
        <v>48</v>
      </c>
      <c r="D460">
        <v>473246</v>
      </c>
      <c r="E460" s="1">
        <v>43032</v>
      </c>
      <c r="F460" t="s">
        <v>1382</v>
      </c>
      <c r="G460">
        <v>4562080103</v>
      </c>
      <c r="H460" t="s">
        <v>20</v>
      </c>
      <c r="I460" t="s">
        <v>15</v>
      </c>
      <c r="J460" t="s">
        <v>16</v>
      </c>
      <c r="K460">
        <v>7</v>
      </c>
      <c r="L460" s="2">
        <f>IF(LEN(Table1[[#This Row],[phone]]) = 10, Table1[[#This Row],[phone]],"Not Available")</f>
        <v>4562080103</v>
      </c>
    </row>
    <row r="461" spans="1:12" x14ac:dyDescent="0.25">
      <c r="A461" t="s">
        <v>1383</v>
      </c>
      <c r="B461" t="s">
        <v>1384</v>
      </c>
      <c r="C461">
        <v>48</v>
      </c>
      <c r="D461">
        <v>5000</v>
      </c>
      <c r="E461" s="1">
        <v>45855</v>
      </c>
      <c r="F461" t="s">
        <v>1385</v>
      </c>
      <c r="G461">
        <v>3832981185</v>
      </c>
      <c r="H461" t="s">
        <v>20</v>
      </c>
      <c r="I461" t="s">
        <v>25</v>
      </c>
      <c r="J461" t="s">
        <v>21</v>
      </c>
      <c r="K461">
        <v>3.8</v>
      </c>
      <c r="L461" s="2">
        <f>IF(LEN(Table1[[#This Row],[phone]]) = 10, Table1[[#This Row],[phone]],"Not Available")</f>
        <v>3832981185</v>
      </c>
    </row>
    <row r="462" spans="1:12" x14ac:dyDescent="0.25">
      <c r="A462" t="s">
        <v>1386</v>
      </c>
      <c r="B462" t="s">
        <v>1387</v>
      </c>
      <c r="C462">
        <v>48</v>
      </c>
      <c r="D462">
        <v>49819</v>
      </c>
      <c r="E462" s="1">
        <v>44278</v>
      </c>
      <c r="F462" t="s">
        <v>69</v>
      </c>
      <c r="G462">
        <v>7246017886</v>
      </c>
      <c r="H462" t="s">
        <v>20</v>
      </c>
      <c r="I462" t="s">
        <v>29</v>
      </c>
      <c r="J462" t="s">
        <v>21</v>
      </c>
      <c r="K462">
        <v>2.7</v>
      </c>
      <c r="L462" s="2">
        <f>IF(LEN(Table1[[#This Row],[phone]]) = 10, Table1[[#This Row],[phone]],"Not Available")</f>
        <v>7246017886</v>
      </c>
    </row>
    <row r="463" spans="1:12" x14ac:dyDescent="0.25">
      <c r="A463" t="s">
        <v>1388</v>
      </c>
      <c r="B463" t="s">
        <v>1389</v>
      </c>
      <c r="C463">
        <v>64</v>
      </c>
      <c r="D463">
        <v>480049</v>
      </c>
      <c r="E463" s="1">
        <v>43858</v>
      </c>
      <c r="F463" t="s">
        <v>69</v>
      </c>
      <c r="G463">
        <v>2416264745</v>
      </c>
      <c r="H463" t="s">
        <v>20</v>
      </c>
      <c r="I463" t="s">
        <v>25</v>
      </c>
      <c r="J463" t="s">
        <v>16</v>
      </c>
      <c r="K463">
        <v>2.9</v>
      </c>
      <c r="L463" s="2">
        <f>IF(LEN(Table1[[#This Row],[phone]]) = 10, Table1[[#This Row],[phone]],"Not Available")</f>
        <v>2416264745</v>
      </c>
    </row>
    <row r="464" spans="1:12" x14ac:dyDescent="0.25">
      <c r="A464" t="s">
        <v>1390</v>
      </c>
      <c r="B464" t="s">
        <v>1391</v>
      </c>
      <c r="C464">
        <v>24</v>
      </c>
      <c r="D464">
        <v>143886</v>
      </c>
      <c r="E464" s="1">
        <v>43259</v>
      </c>
      <c r="F464" t="s">
        <v>1392</v>
      </c>
      <c r="G464">
        <v>3707790913</v>
      </c>
      <c r="H464" t="s">
        <v>20</v>
      </c>
      <c r="I464" t="s">
        <v>25</v>
      </c>
      <c r="J464" t="s">
        <v>16</v>
      </c>
      <c r="K464">
        <v>-2</v>
      </c>
      <c r="L464" s="2">
        <f>IF(LEN(Table1[[#This Row],[phone]]) = 10, Table1[[#This Row],[phone]],"Not Available")</f>
        <v>3707790913</v>
      </c>
    </row>
    <row r="465" spans="1:12" x14ac:dyDescent="0.25">
      <c r="A465" t="s">
        <v>1393</v>
      </c>
      <c r="B465" t="s">
        <v>1394</v>
      </c>
      <c r="C465">
        <v>48</v>
      </c>
      <c r="D465">
        <v>45080</v>
      </c>
      <c r="E465" s="1">
        <v>44284</v>
      </c>
      <c r="F465" t="s">
        <v>1395</v>
      </c>
      <c r="G465">
        <v>1820085496</v>
      </c>
      <c r="H465" t="s">
        <v>14</v>
      </c>
      <c r="I465" t="s">
        <v>15</v>
      </c>
      <c r="J465" t="s">
        <v>16</v>
      </c>
      <c r="K465">
        <v>2.7</v>
      </c>
      <c r="L465" s="2">
        <f>IF(LEN(Table1[[#This Row],[phone]]) = 10, Table1[[#This Row],[phone]],"Not Available")</f>
        <v>1820085496</v>
      </c>
    </row>
    <row r="466" spans="1:12" x14ac:dyDescent="0.25">
      <c r="A466" t="s">
        <v>1396</v>
      </c>
      <c r="B466" t="s">
        <v>1397</v>
      </c>
      <c r="C466">
        <v>72</v>
      </c>
      <c r="D466">
        <v>401064</v>
      </c>
      <c r="E466" s="1">
        <v>44565</v>
      </c>
      <c r="F466" t="s">
        <v>1398</v>
      </c>
      <c r="G466">
        <v>759127927</v>
      </c>
      <c r="H466" t="s">
        <v>20</v>
      </c>
      <c r="I466" t="s">
        <v>25</v>
      </c>
      <c r="J466" t="s">
        <v>16</v>
      </c>
      <c r="K466">
        <v>2.7</v>
      </c>
      <c r="L466" s="2" t="str">
        <f>IF(LEN(Table1[[#This Row],[phone]]) = 10, Table1[[#This Row],[phone]],"Not Available")</f>
        <v>Not Available</v>
      </c>
    </row>
    <row r="467" spans="1:12" x14ac:dyDescent="0.25">
      <c r="A467" t="s">
        <v>1399</v>
      </c>
      <c r="B467" t="s">
        <v>1400</v>
      </c>
      <c r="C467">
        <v>25</v>
      </c>
      <c r="D467">
        <v>143886</v>
      </c>
      <c r="E467" s="1">
        <v>45417</v>
      </c>
      <c r="F467" t="s">
        <v>1401</v>
      </c>
      <c r="G467">
        <v>3407776896</v>
      </c>
      <c r="H467" t="s">
        <v>14</v>
      </c>
      <c r="I467" t="s">
        <v>25</v>
      </c>
      <c r="J467" t="s">
        <v>16</v>
      </c>
      <c r="K467">
        <v>2.7</v>
      </c>
      <c r="L467" s="2">
        <f>IF(LEN(Table1[[#This Row],[phone]]) = 10, Table1[[#This Row],[phone]],"Not Available")</f>
        <v>3407776896</v>
      </c>
    </row>
    <row r="468" spans="1:12" x14ac:dyDescent="0.25">
      <c r="A468" t="s">
        <v>1402</v>
      </c>
      <c r="B468" t="s">
        <v>1403</v>
      </c>
      <c r="C468">
        <v>69</v>
      </c>
      <c r="D468">
        <v>143886</v>
      </c>
      <c r="E468" s="1">
        <v>45511</v>
      </c>
      <c r="F468" t="s">
        <v>1404</v>
      </c>
      <c r="G468">
        <v>46850</v>
      </c>
      <c r="H468" t="s">
        <v>65</v>
      </c>
      <c r="I468" t="s">
        <v>66</v>
      </c>
      <c r="J468" t="s">
        <v>21</v>
      </c>
      <c r="K468">
        <v>2.1</v>
      </c>
      <c r="L468" s="2" t="str">
        <f>IF(LEN(Table1[[#This Row],[phone]]) = 10, Table1[[#This Row],[phone]],"Not Available")</f>
        <v>Not Available</v>
      </c>
    </row>
    <row r="469" spans="1:12" x14ac:dyDescent="0.25">
      <c r="A469" t="s">
        <v>1405</v>
      </c>
      <c r="B469" t="s">
        <v>1406</v>
      </c>
      <c r="C469">
        <v>25</v>
      </c>
      <c r="D469">
        <v>5000</v>
      </c>
      <c r="E469" s="1">
        <v>45268</v>
      </c>
      <c r="F469" t="s">
        <v>1407</v>
      </c>
      <c r="G469">
        <v>8053256509</v>
      </c>
      <c r="H469" t="s">
        <v>20</v>
      </c>
      <c r="I469" t="s">
        <v>15</v>
      </c>
      <c r="J469" t="s">
        <v>16</v>
      </c>
      <c r="K469">
        <v>7</v>
      </c>
      <c r="L469" s="2">
        <f>IF(LEN(Table1[[#This Row],[phone]]) = 10, Table1[[#This Row],[phone]],"Not Available")</f>
        <v>8053256509</v>
      </c>
    </row>
    <row r="470" spans="1:12" x14ac:dyDescent="0.25">
      <c r="A470" t="s">
        <v>1408</v>
      </c>
      <c r="B470" t="s">
        <v>1409</v>
      </c>
      <c r="C470">
        <v>48</v>
      </c>
      <c r="D470">
        <v>5000</v>
      </c>
      <c r="E470" s="1">
        <v>42849</v>
      </c>
      <c r="F470" t="s">
        <v>1410</v>
      </c>
      <c r="G470">
        <v>8892537211</v>
      </c>
      <c r="H470" t="s">
        <v>20</v>
      </c>
      <c r="I470" t="s">
        <v>25</v>
      </c>
      <c r="J470" t="s">
        <v>21</v>
      </c>
      <c r="K470">
        <v>-2</v>
      </c>
      <c r="L470" s="2">
        <f>IF(LEN(Table1[[#This Row],[phone]]) = 10, Table1[[#This Row],[phone]],"Not Available")</f>
        <v>8892537211</v>
      </c>
    </row>
    <row r="471" spans="1:12" x14ac:dyDescent="0.25">
      <c r="A471" t="s">
        <v>1411</v>
      </c>
      <c r="B471" t="s">
        <v>1412</v>
      </c>
      <c r="C471">
        <v>25</v>
      </c>
      <c r="D471">
        <v>143886</v>
      </c>
      <c r="E471" s="1">
        <v>45381</v>
      </c>
      <c r="F471" t="s">
        <v>1413</v>
      </c>
      <c r="G471">
        <v>6384878730</v>
      </c>
      <c r="H471" t="s">
        <v>14</v>
      </c>
      <c r="I471" t="s">
        <v>37</v>
      </c>
      <c r="J471" t="s">
        <v>21</v>
      </c>
      <c r="K471">
        <v>2.7</v>
      </c>
      <c r="L471" s="2">
        <f>IF(LEN(Table1[[#This Row],[phone]]) = 10, Table1[[#This Row],[phone]],"Not Available")</f>
        <v>6384878730</v>
      </c>
    </row>
    <row r="472" spans="1:12" x14ac:dyDescent="0.25">
      <c r="A472" t="s">
        <v>1414</v>
      </c>
      <c r="B472" t="s">
        <v>1415</v>
      </c>
      <c r="C472">
        <v>18</v>
      </c>
      <c r="D472">
        <v>69123</v>
      </c>
      <c r="E472" s="1">
        <v>42607</v>
      </c>
      <c r="F472" t="s">
        <v>1416</v>
      </c>
      <c r="G472">
        <v>41086</v>
      </c>
      <c r="H472" t="s">
        <v>65</v>
      </c>
      <c r="I472" t="s">
        <v>15</v>
      </c>
      <c r="J472" t="s">
        <v>16</v>
      </c>
      <c r="K472">
        <v>1.1000000000000001</v>
      </c>
      <c r="L472" s="2" t="str">
        <f>IF(LEN(Table1[[#This Row],[phone]]) = 10, Table1[[#This Row],[phone]],"Not Available")</f>
        <v>Not Available</v>
      </c>
    </row>
    <row r="473" spans="1:12" x14ac:dyDescent="0.25">
      <c r="A473" t="s">
        <v>1417</v>
      </c>
      <c r="B473" t="s">
        <v>1418</v>
      </c>
      <c r="C473">
        <v>48</v>
      </c>
      <c r="D473">
        <v>346997</v>
      </c>
      <c r="E473" s="1">
        <v>44313</v>
      </c>
      <c r="F473" t="s">
        <v>1419</v>
      </c>
      <c r="G473">
        <v>2194262493</v>
      </c>
      <c r="H473" t="s">
        <v>70</v>
      </c>
      <c r="I473" t="s">
        <v>15</v>
      </c>
      <c r="J473" t="s">
        <v>16</v>
      </c>
      <c r="K473">
        <v>1.5</v>
      </c>
      <c r="L473" s="2">
        <f>IF(LEN(Table1[[#This Row],[phone]]) = 10, Table1[[#This Row],[phone]],"Not Available")</f>
        <v>2194262493</v>
      </c>
    </row>
    <row r="474" spans="1:12" x14ac:dyDescent="0.25">
      <c r="A474" t="s">
        <v>1420</v>
      </c>
      <c r="B474" t="s">
        <v>1421</v>
      </c>
      <c r="C474">
        <v>48</v>
      </c>
      <c r="D474">
        <v>143886</v>
      </c>
      <c r="E474" s="1">
        <v>44573</v>
      </c>
      <c r="F474" t="s">
        <v>1422</v>
      </c>
      <c r="G474">
        <v>4597867357</v>
      </c>
      <c r="H474" t="s">
        <v>33</v>
      </c>
      <c r="I474" t="s">
        <v>29</v>
      </c>
      <c r="J474" t="s">
        <v>21</v>
      </c>
      <c r="K474">
        <v>2.7</v>
      </c>
      <c r="L474" s="2">
        <f>IF(LEN(Table1[[#This Row],[phone]]) = 10, Table1[[#This Row],[phone]],"Not Available")</f>
        <v>4597867357</v>
      </c>
    </row>
    <row r="475" spans="1:12" x14ac:dyDescent="0.25">
      <c r="A475" t="s">
        <v>1423</v>
      </c>
      <c r="B475" t="s">
        <v>1424</v>
      </c>
      <c r="C475">
        <v>41</v>
      </c>
      <c r="D475">
        <v>143886</v>
      </c>
      <c r="E475" s="1">
        <v>42999</v>
      </c>
      <c r="F475" t="s">
        <v>1425</v>
      </c>
      <c r="G475">
        <v>4870762939</v>
      </c>
      <c r="H475" t="s">
        <v>70</v>
      </c>
      <c r="I475" t="s">
        <v>15</v>
      </c>
      <c r="J475" t="s">
        <v>16</v>
      </c>
      <c r="K475">
        <v>2.4</v>
      </c>
      <c r="L475" s="2">
        <f>IF(LEN(Table1[[#This Row],[phone]]) = 10, Table1[[#This Row],[phone]],"Not Available")</f>
        <v>4870762939</v>
      </c>
    </row>
    <row r="476" spans="1:12" x14ac:dyDescent="0.25">
      <c r="A476" t="s">
        <v>1426</v>
      </c>
      <c r="B476" t="s">
        <v>1427</v>
      </c>
      <c r="C476">
        <v>22</v>
      </c>
      <c r="D476">
        <v>143886</v>
      </c>
      <c r="E476" s="1">
        <v>44457</v>
      </c>
      <c r="F476" t="s">
        <v>1428</v>
      </c>
      <c r="G476">
        <v>1131022007</v>
      </c>
      <c r="H476" t="s">
        <v>33</v>
      </c>
      <c r="I476" t="s">
        <v>37</v>
      </c>
      <c r="J476" t="s">
        <v>16</v>
      </c>
      <c r="K476">
        <v>7</v>
      </c>
      <c r="L476" s="2">
        <f>IF(LEN(Table1[[#This Row],[phone]]) = 10, Table1[[#This Row],[phone]],"Not Available")</f>
        <v>1131022007</v>
      </c>
    </row>
    <row r="477" spans="1:12" x14ac:dyDescent="0.25">
      <c r="A477" t="s">
        <v>1429</v>
      </c>
      <c r="B477" t="s">
        <v>1430</v>
      </c>
      <c r="C477">
        <v>48</v>
      </c>
      <c r="D477">
        <v>5000</v>
      </c>
      <c r="E477" s="1">
        <v>45207</v>
      </c>
      <c r="F477" t="s">
        <v>1431</v>
      </c>
      <c r="G477">
        <v>7473669578</v>
      </c>
      <c r="H477" t="s">
        <v>20</v>
      </c>
      <c r="I477" t="s">
        <v>15</v>
      </c>
      <c r="J477" t="s">
        <v>21</v>
      </c>
      <c r="K477">
        <v>-2</v>
      </c>
      <c r="L477" s="2">
        <f>IF(LEN(Table1[[#This Row],[phone]]) = 10, Table1[[#This Row],[phone]],"Not Available")</f>
        <v>7473669578</v>
      </c>
    </row>
    <row r="478" spans="1:12" x14ac:dyDescent="0.25">
      <c r="A478" t="s">
        <v>1432</v>
      </c>
      <c r="B478" t="s">
        <v>1433</v>
      </c>
      <c r="C478">
        <v>48</v>
      </c>
      <c r="D478">
        <v>111402</v>
      </c>
      <c r="E478" s="1">
        <v>45566</v>
      </c>
      <c r="F478" t="s">
        <v>1434</v>
      </c>
      <c r="G478">
        <v>8485953656</v>
      </c>
      <c r="H478" t="s">
        <v>33</v>
      </c>
      <c r="I478" t="s">
        <v>37</v>
      </c>
      <c r="J478" t="s">
        <v>16</v>
      </c>
      <c r="K478">
        <v>2.7</v>
      </c>
      <c r="L478" s="2">
        <f>IF(LEN(Table1[[#This Row],[phone]]) = 10, Table1[[#This Row],[phone]],"Not Available")</f>
        <v>8485953656</v>
      </c>
    </row>
    <row r="479" spans="1:12" x14ac:dyDescent="0.25">
      <c r="A479" t="s">
        <v>1435</v>
      </c>
      <c r="B479" t="s">
        <v>1436</v>
      </c>
      <c r="C479">
        <v>48</v>
      </c>
      <c r="D479">
        <v>143886</v>
      </c>
      <c r="E479" s="1">
        <v>45572</v>
      </c>
      <c r="F479" t="s">
        <v>1437</v>
      </c>
      <c r="G479">
        <v>9803489180</v>
      </c>
      <c r="H479" t="s">
        <v>33</v>
      </c>
      <c r="I479" t="s">
        <v>29</v>
      </c>
      <c r="J479" t="s">
        <v>16</v>
      </c>
      <c r="K479">
        <v>4.5</v>
      </c>
      <c r="L479" s="2">
        <f>IF(LEN(Table1[[#This Row],[phone]]) = 10, Table1[[#This Row],[phone]],"Not Available")</f>
        <v>9803489180</v>
      </c>
    </row>
    <row r="480" spans="1:12" x14ac:dyDescent="0.25">
      <c r="A480" t="s">
        <v>1438</v>
      </c>
      <c r="B480" t="s">
        <v>1439</v>
      </c>
      <c r="C480">
        <v>48</v>
      </c>
      <c r="D480">
        <v>5000</v>
      </c>
      <c r="E480" s="1">
        <v>45790</v>
      </c>
      <c r="F480" t="s">
        <v>1440</v>
      </c>
      <c r="G480">
        <v>1175746284</v>
      </c>
      <c r="H480" t="s">
        <v>20</v>
      </c>
      <c r="I480" t="s">
        <v>66</v>
      </c>
      <c r="J480" t="s">
        <v>16</v>
      </c>
      <c r="K480">
        <v>1.6</v>
      </c>
      <c r="L480" s="2">
        <f>IF(LEN(Table1[[#This Row],[phone]]) = 10, Table1[[#This Row],[phone]],"Not Available")</f>
        <v>1175746284</v>
      </c>
    </row>
    <row r="481" spans="1:12" x14ac:dyDescent="0.25">
      <c r="A481" t="s">
        <v>1441</v>
      </c>
      <c r="B481" t="s">
        <v>1442</v>
      </c>
      <c r="C481">
        <v>78</v>
      </c>
      <c r="D481">
        <v>143886</v>
      </c>
      <c r="E481" s="1">
        <v>44205</v>
      </c>
      <c r="F481" t="s">
        <v>1443</v>
      </c>
      <c r="G481">
        <v>8659428282</v>
      </c>
      <c r="H481" t="s">
        <v>65</v>
      </c>
      <c r="I481" t="s">
        <v>15</v>
      </c>
      <c r="J481" t="s">
        <v>21</v>
      </c>
      <c r="K481">
        <v>2.6</v>
      </c>
      <c r="L481" s="2">
        <f>IF(LEN(Table1[[#This Row],[phone]]) = 10, Table1[[#This Row],[phone]],"Not Available")</f>
        <v>8659428282</v>
      </c>
    </row>
    <row r="482" spans="1:12" x14ac:dyDescent="0.25">
      <c r="A482" t="s">
        <v>1444</v>
      </c>
      <c r="B482" t="s">
        <v>1445</v>
      </c>
      <c r="C482">
        <v>48</v>
      </c>
      <c r="D482">
        <v>378444</v>
      </c>
      <c r="E482" s="1">
        <v>45180</v>
      </c>
      <c r="F482" t="s">
        <v>1446</v>
      </c>
      <c r="G482">
        <v>7888946982</v>
      </c>
      <c r="H482" t="s">
        <v>33</v>
      </c>
      <c r="I482" t="s">
        <v>37</v>
      </c>
      <c r="J482" t="s">
        <v>16</v>
      </c>
      <c r="K482">
        <v>7</v>
      </c>
      <c r="L482" s="2">
        <f>IF(LEN(Table1[[#This Row],[phone]]) = 10, Table1[[#This Row],[phone]],"Not Available")</f>
        <v>7888946982</v>
      </c>
    </row>
    <row r="483" spans="1:12" x14ac:dyDescent="0.25">
      <c r="A483" t="s">
        <v>1447</v>
      </c>
      <c r="B483" t="s">
        <v>1448</v>
      </c>
      <c r="C483">
        <v>85</v>
      </c>
      <c r="D483">
        <v>44406</v>
      </c>
      <c r="E483" s="1">
        <v>45606</v>
      </c>
      <c r="F483" t="s">
        <v>1449</v>
      </c>
      <c r="G483">
        <v>9211111222</v>
      </c>
      <c r="H483" t="s">
        <v>65</v>
      </c>
      <c r="I483" t="s">
        <v>37</v>
      </c>
      <c r="J483" t="s">
        <v>16</v>
      </c>
      <c r="K483">
        <v>7</v>
      </c>
      <c r="L483" s="2">
        <f>IF(LEN(Table1[[#This Row],[phone]]) = 10, Table1[[#This Row],[phone]],"Not Available")</f>
        <v>9211111222</v>
      </c>
    </row>
    <row r="484" spans="1:12" x14ac:dyDescent="0.25">
      <c r="A484" t="s">
        <v>1450</v>
      </c>
      <c r="B484" t="s">
        <v>1451</v>
      </c>
      <c r="C484">
        <v>48</v>
      </c>
      <c r="D484">
        <v>114339</v>
      </c>
      <c r="E484" s="1">
        <v>43691</v>
      </c>
      <c r="F484" t="s">
        <v>1452</v>
      </c>
      <c r="G484">
        <v>4981723752</v>
      </c>
      <c r="H484" t="s">
        <v>20</v>
      </c>
      <c r="I484" t="s">
        <v>15</v>
      </c>
      <c r="J484" t="s">
        <v>21</v>
      </c>
      <c r="K484">
        <v>2.9</v>
      </c>
      <c r="L484" s="2">
        <f>IF(LEN(Table1[[#This Row],[phone]]) = 10, Table1[[#This Row],[phone]],"Not Available")</f>
        <v>4981723752</v>
      </c>
    </row>
    <row r="485" spans="1:12" x14ac:dyDescent="0.25">
      <c r="A485" t="s">
        <v>1453</v>
      </c>
      <c r="B485" t="s">
        <v>1454</v>
      </c>
      <c r="C485">
        <v>48</v>
      </c>
      <c r="D485">
        <v>143886</v>
      </c>
      <c r="E485" s="1">
        <v>45897</v>
      </c>
      <c r="F485" t="s">
        <v>1455</v>
      </c>
      <c r="G485">
        <v>697130477</v>
      </c>
      <c r="H485" t="s">
        <v>20</v>
      </c>
      <c r="I485" t="s">
        <v>29</v>
      </c>
      <c r="J485" t="s">
        <v>21</v>
      </c>
      <c r="K485">
        <v>7</v>
      </c>
      <c r="L485" s="2" t="str">
        <f>IF(LEN(Table1[[#This Row],[phone]]) = 10, Table1[[#This Row],[phone]],"Not Available")</f>
        <v>Not Available</v>
      </c>
    </row>
    <row r="486" spans="1:12" x14ac:dyDescent="0.25">
      <c r="A486" t="s">
        <v>1456</v>
      </c>
      <c r="B486" t="s">
        <v>1457</v>
      </c>
      <c r="C486">
        <v>48</v>
      </c>
      <c r="D486">
        <v>143886</v>
      </c>
      <c r="E486" s="1">
        <v>43880</v>
      </c>
      <c r="F486" t="s">
        <v>69</v>
      </c>
      <c r="G486">
        <v>790282608</v>
      </c>
      <c r="H486" t="s">
        <v>70</v>
      </c>
      <c r="I486" t="s">
        <v>15</v>
      </c>
      <c r="J486" t="s">
        <v>16</v>
      </c>
      <c r="K486">
        <v>-2</v>
      </c>
      <c r="L486" s="2" t="str">
        <f>IF(LEN(Table1[[#This Row],[phone]]) = 10, Table1[[#This Row],[phone]],"Not Available")</f>
        <v>Not Available</v>
      </c>
    </row>
    <row r="487" spans="1:12" x14ac:dyDescent="0.25">
      <c r="A487" t="s">
        <v>1458</v>
      </c>
      <c r="B487" t="s">
        <v>1459</v>
      </c>
      <c r="C487">
        <v>40</v>
      </c>
      <c r="D487">
        <v>143886</v>
      </c>
      <c r="E487" s="1">
        <v>45883</v>
      </c>
      <c r="F487" t="s">
        <v>1460</v>
      </c>
      <c r="G487">
        <v>2193904871</v>
      </c>
      <c r="H487" t="s">
        <v>33</v>
      </c>
      <c r="I487" t="s">
        <v>15</v>
      </c>
      <c r="J487" t="s">
        <v>21</v>
      </c>
      <c r="K487">
        <v>7</v>
      </c>
      <c r="L487" s="2">
        <f>IF(LEN(Table1[[#This Row],[phone]]) = 10, Table1[[#This Row],[phone]],"Not Available")</f>
        <v>2193904871</v>
      </c>
    </row>
    <row r="488" spans="1:12" x14ac:dyDescent="0.25">
      <c r="A488" t="s">
        <v>1461</v>
      </c>
      <c r="B488" t="s">
        <v>1462</v>
      </c>
      <c r="C488">
        <v>71</v>
      </c>
      <c r="D488">
        <v>294617</v>
      </c>
      <c r="E488" s="1">
        <v>43717</v>
      </c>
      <c r="F488" t="s">
        <v>1463</v>
      </c>
      <c r="G488">
        <v>1090412229</v>
      </c>
      <c r="H488" t="s">
        <v>14</v>
      </c>
      <c r="I488" t="s">
        <v>15</v>
      </c>
      <c r="J488" t="s">
        <v>16</v>
      </c>
      <c r="K488">
        <v>1</v>
      </c>
      <c r="L488" s="2">
        <f>IF(LEN(Table1[[#This Row],[phone]]) = 10, Table1[[#This Row],[phone]],"Not Available")</f>
        <v>1090412229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0A9A1-D045-4434-82E2-9A96CF476CCC}">
  <dimension ref="A1:I36"/>
  <sheetViews>
    <sheetView topLeftCell="A19" workbookViewId="0">
      <selection activeCell="L6" sqref="L6"/>
    </sheetView>
  </sheetViews>
  <sheetFormatPr defaultRowHeight="15" x14ac:dyDescent="0.25"/>
  <cols>
    <col min="1" max="1" width="13.42578125" bestFit="1" customWidth="1"/>
    <col min="2" max="2" width="13.140625" bestFit="1" customWidth="1"/>
    <col min="5" max="5" width="13.42578125" bestFit="1" customWidth="1"/>
    <col min="6" max="6" width="16" bestFit="1" customWidth="1"/>
    <col min="8" max="8" width="13.42578125" bestFit="1" customWidth="1"/>
    <col min="9" max="9" width="16" bestFit="1" customWidth="1"/>
  </cols>
  <sheetData>
    <row r="1" spans="1:9" x14ac:dyDescent="0.25">
      <c r="A1" s="3" t="s">
        <v>1465</v>
      </c>
      <c r="B1" t="s">
        <v>1467</v>
      </c>
      <c r="E1" s="3" t="s">
        <v>1465</v>
      </c>
      <c r="F1" t="s">
        <v>1467</v>
      </c>
      <c r="H1" s="3" t="s">
        <v>1465</v>
      </c>
      <c r="I1" s="6" t="s">
        <v>1469</v>
      </c>
    </row>
    <row r="2" spans="1:9" x14ac:dyDescent="0.25">
      <c r="A2" s="4" t="s">
        <v>14</v>
      </c>
      <c r="B2" s="8">
        <v>62</v>
      </c>
      <c r="E2" s="4" t="s">
        <v>66</v>
      </c>
      <c r="F2" s="8">
        <v>56</v>
      </c>
      <c r="H2" s="4" t="s">
        <v>14</v>
      </c>
      <c r="I2" s="6">
        <v>0.12536242942163897</v>
      </c>
    </row>
    <row r="3" spans="1:9" x14ac:dyDescent="0.25">
      <c r="A3" s="4" t="s">
        <v>33</v>
      </c>
      <c r="B3" s="8">
        <v>61</v>
      </c>
      <c r="E3" s="4" t="s">
        <v>37</v>
      </c>
      <c r="F3" s="8">
        <v>63</v>
      </c>
      <c r="H3" s="4" t="s">
        <v>33</v>
      </c>
      <c r="I3" s="6">
        <v>0.12963528155043497</v>
      </c>
    </row>
    <row r="4" spans="1:9" x14ac:dyDescent="0.25">
      <c r="A4" s="4" t="s">
        <v>65</v>
      </c>
      <c r="B4" s="8">
        <v>120</v>
      </c>
      <c r="E4" s="4" t="s">
        <v>25</v>
      </c>
      <c r="F4" s="8">
        <v>65</v>
      </c>
      <c r="H4" s="4" t="s">
        <v>65</v>
      </c>
      <c r="I4" s="6">
        <v>0.24965664581107885</v>
      </c>
    </row>
    <row r="5" spans="1:9" x14ac:dyDescent="0.25">
      <c r="A5" s="4" t="s">
        <v>70</v>
      </c>
      <c r="B5" s="8">
        <v>61</v>
      </c>
      <c r="E5" s="4" t="s">
        <v>29</v>
      </c>
      <c r="F5" s="8">
        <v>71</v>
      </c>
      <c r="H5" s="4" t="s">
        <v>70</v>
      </c>
      <c r="I5" s="6">
        <v>0.10659240042728525</v>
      </c>
    </row>
    <row r="6" spans="1:9" x14ac:dyDescent="0.25">
      <c r="A6" s="4" t="s">
        <v>20</v>
      </c>
      <c r="B6" s="8">
        <v>183</v>
      </c>
      <c r="E6" s="4" t="s">
        <v>15</v>
      </c>
      <c r="F6" s="8">
        <v>232</v>
      </c>
      <c r="H6" s="4" t="s">
        <v>20</v>
      </c>
      <c r="I6" s="6">
        <v>0.38875324278956191</v>
      </c>
    </row>
    <row r="7" spans="1:9" x14ac:dyDescent="0.25">
      <c r="A7" s="4" t="s">
        <v>1466</v>
      </c>
      <c r="B7" s="8">
        <v>487</v>
      </c>
      <c r="E7" s="4" t="s">
        <v>1466</v>
      </c>
      <c r="F7" s="8">
        <v>487</v>
      </c>
      <c r="H7" s="4" t="s">
        <v>1466</v>
      </c>
      <c r="I7" s="6">
        <v>1</v>
      </c>
    </row>
    <row r="11" spans="1:9" x14ac:dyDescent="0.25">
      <c r="A11" s="3" t="s">
        <v>1465</v>
      </c>
      <c r="B11" t="s">
        <v>1468</v>
      </c>
      <c r="E11" s="3" t="s">
        <v>1465</v>
      </c>
      <c r="F11" t="s">
        <v>1467</v>
      </c>
      <c r="H11" s="3" t="s">
        <v>1465</v>
      </c>
      <c r="I11" t="s">
        <v>1467</v>
      </c>
    </row>
    <row r="12" spans="1:9" x14ac:dyDescent="0.25">
      <c r="A12" s="4" t="s">
        <v>14</v>
      </c>
      <c r="B12" s="7">
        <v>8275881</v>
      </c>
      <c r="E12" s="4" t="s">
        <v>14</v>
      </c>
      <c r="F12" s="8">
        <v>62</v>
      </c>
      <c r="H12" s="4" t="s">
        <v>1470</v>
      </c>
      <c r="I12" s="8">
        <v>125</v>
      </c>
    </row>
    <row r="13" spans="1:9" x14ac:dyDescent="0.25">
      <c r="A13" s="4" t="s">
        <v>33</v>
      </c>
      <c r="B13" s="7">
        <v>9350644</v>
      </c>
      <c r="E13" s="5" t="s">
        <v>21</v>
      </c>
      <c r="F13" s="8">
        <v>25</v>
      </c>
      <c r="H13" s="4" t="s">
        <v>1471</v>
      </c>
      <c r="I13" s="8">
        <v>24</v>
      </c>
    </row>
    <row r="14" spans="1:9" x14ac:dyDescent="0.25">
      <c r="A14" s="4" t="s">
        <v>65</v>
      </c>
      <c r="B14" s="7">
        <v>17134443</v>
      </c>
      <c r="E14" s="5" t="s">
        <v>16</v>
      </c>
      <c r="F14" s="8">
        <v>37</v>
      </c>
      <c r="H14" s="4" t="s">
        <v>1472</v>
      </c>
      <c r="I14" s="8">
        <v>240</v>
      </c>
    </row>
    <row r="15" spans="1:9" x14ac:dyDescent="0.25">
      <c r="A15" s="4" t="s">
        <v>70</v>
      </c>
      <c r="B15" s="7">
        <v>8420984</v>
      </c>
      <c r="E15" s="4" t="s">
        <v>33</v>
      </c>
      <c r="F15" s="8">
        <v>61</v>
      </c>
      <c r="H15" s="4" t="s">
        <v>1473</v>
      </c>
      <c r="I15" s="8">
        <v>47</v>
      </c>
    </row>
    <row r="16" spans="1:9" x14ac:dyDescent="0.25">
      <c r="A16" s="4" t="s">
        <v>20</v>
      </c>
      <c r="B16" s="7">
        <v>26890633</v>
      </c>
      <c r="E16" s="5" t="s">
        <v>21</v>
      </c>
      <c r="F16" s="8">
        <v>18</v>
      </c>
      <c r="H16" s="4" t="s">
        <v>1474</v>
      </c>
      <c r="I16" s="8">
        <v>51</v>
      </c>
    </row>
    <row r="17" spans="1:9" x14ac:dyDescent="0.25">
      <c r="A17" s="4" t="s">
        <v>1466</v>
      </c>
      <c r="B17" s="7">
        <v>70072585</v>
      </c>
      <c r="E17" s="5" t="s">
        <v>16</v>
      </c>
      <c r="F17" s="8">
        <v>43</v>
      </c>
      <c r="H17" s="4" t="s">
        <v>1466</v>
      </c>
      <c r="I17" s="8">
        <v>487</v>
      </c>
    </row>
    <row r="18" spans="1:9" x14ac:dyDescent="0.25">
      <c r="E18" s="4" t="s">
        <v>65</v>
      </c>
      <c r="F18" s="8">
        <v>120</v>
      </c>
    </row>
    <row r="19" spans="1:9" x14ac:dyDescent="0.25">
      <c r="E19" s="5" t="s">
        <v>21</v>
      </c>
      <c r="F19" s="8">
        <v>41</v>
      </c>
    </row>
    <row r="20" spans="1:9" x14ac:dyDescent="0.25">
      <c r="A20" s="3" t="s">
        <v>1465</v>
      </c>
      <c r="B20" t="s">
        <v>1467</v>
      </c>
      <c r="E20" s="5" t="s">
        <v>16</v>
      </c>
      <c r="F20" s="8">
        <v>79</v>
      </c>
    </row>
    <row r="21" spans="1:9" x14ac:dyDescent="0.25">
      <c r="A21" s="4" t="s">
        <v>21</v>
      </c>
      <c r="B21" s="6">
        <v>0.32238193018480493</v>
      </c>
      <c r="E21" s="4" t="s">
        <v>70</v>
      </c>
      <c r="F21" s="8">
        <v>61</v>
      </c>
    </row>
    <row r="22" spans="1:9" x14ac:dyDescent="0.25">
      <c r="A22" s="4" t="s">
        <v>16</v>
      </c>
      <c r="B22" s="6">
        <v>0.67761806981519512</v>
      </c>
      <c r="E22" s="5" t="s">
        <v>21</v>
      </c>
      <c r="F22" s="8">
        <v>17</v>
      </c>
    </row>
    <row r="23" spans="1:9" x14ac:dyDescent="0.25">
      <c r="A23" s="4" t="s">
        <v>1466</v>
      </c>
      <c r="B23" s="6">
        <v>1</v>
      </c>
      <c r="E23" s="5" t="s">
        <v>16</v>
      </c>
      <c r="F23" s="8">
        <v>44</v>
      </c>
    </row>
    <row r="24" spans="1:9" x14ac:dyDescent="0.25">
      <c r="E24" s="4" t="s">
        <v>20</v>
      </c>
      <c r="F24" s="8">
        <v>183</v>
      </c>
    </row>
    <row r="25" spans="1:9" x14ac:dyDescent="0.25">
      <c r="E25" s="5" t="s">
        <v>21</v>
      </c>
      <c r="F25" s="8">
        <v>56</v>
      </c>
    </row>
    <row r="26" spans="1:9" x14ac:dyDescent="0.25">
      <c r="E26" s="5" t="s">
        <v>16</v>
      </c>
      <c r="F26" s="8">
        <v>127</v>
      </c>
    </row>
    <row r="27" spans="1:9" x14ac:dyDescent="0.25">
      <c r="E27" s="4" t="s">
        <v>1466</v>
      </c>
      <c r="F27" s="8">
        <v>487</v>
      </c>
    </row>
    <row r="30" spans="1:9" x14ac:dyDescent="0.25">
      <c r="A30" s="3" t="s">
        <v>1465</v>
      </c>
      <c r="B30" t="s">
        <v>1468</v>
      </c>
    </row>
    <row r="31" spans="1:9" x14ac:dyDescent="0.25">
      <c r="A31" s="4" t="s">
        <v>91</v>
      </c>
      <c r="B31" s="8">
        <v>482513</v>
      </c>
    </row>
    <row r="32" spans="1:9" x14ac:dyDescent="0.25">
      <c r="A32" s="4" t="s">
        <v>289</v>
      </c>
      <c r="B32" s="8">
        <v>491278</v>
      </c>
    </row>
    <row r="33" spans="1:2" x14ac:dyDescent="0.25">
      <c r="A33" s="4" t="s">
        <v>483</v>
      </c>
      <c r="B33" s="8">
        <v>493932</v>
      </c>
    </row>
    <row r="34" spans="1:2" x14ac:dyDescent="0.25">
      <c r="A34" s="4" t="s">
        <v>1073</v>
      </c>
      <c r="B34" s="8">
        <v>498320</v>
      </c>
    </row>
    <row r="35" spans="1:2" x14ac:dyDescent="0.25">
      <c r="A35" s="4" t="s">
        <v>1210</v>
      </c>
      <c r="B35" s="8">
        <v>499193</v>
      </c>
    </row>
    <row r="36" spans="1:2" x14ac:dyDescent="0.25">
      <c r="A36" s="4" t="s">
        <v>1466</v>
      </c>
      <c r="B36" s="8">
        <v>2465236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64B97-26A3-4818-ABDF-52448B80B59D}">
  <dimension ref="A1"/>
  <sheetViews>
    <sheetView tabSelected="1" zoomScale="85" zoomScaleNormal="85" workbookViewId="0">
      <selection activeCell="B25" sqref="B2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clean_chat_gpt_messy_employee_d</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KailashKumar</dc:creator>
  <cp:lastModifiedBy>KailashKumar</cp:lastModifiedBy>
  <dcterms:created xsi:type="dcterms:W3CDTF">2026-05-11T17:31:16Z</dcterms:created>
  <dcterms:modified xsi:type="dcterms:W3CDTF">2026-05-23T16:00:38Z</dcterms:modified>
</cp:coreProperties>
</file>